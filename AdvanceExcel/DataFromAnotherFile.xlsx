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6E15B48B-4E12-4B8F-AD21-3AF4FFE909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</calcChain>
</file>

<file path=xl/sharedStrings.xml><?xml version="1.0" encoding="utf-8"?>
<sst xmlns="http://schemas.openxmlformats.org/spreadsheetml/2006/main" count="406" uniqueCount="406">
  <si>
    <t>EmpID</t>
  </si>
  <si>
    <t>Name</t>
  </si>
  <si>
    <t>Department</t>
  </si>
  <si>
    <t>Salary</t>
  </si>
  <si>
    <t>JoinDate</t>
  </si>
  <si>
    <t>E001</t>
  </si>
  <si>
    <t>Aarav Sharma</t>
  </si>
  <si>
    <t>E002</t>
  </si>
  <si>
    <t>Ananya Verma</t>
  </si>
  <si>
    <t>E003</t>
  </si>
  <si>
    <t>Arjun Patel</t>
  </si>
  <si>
    <t>E004</t>
  </si>
  <si>
    <t>Divya Kapoor</t>
  </si>
  <si>
    <t>E005</t>
  </si>
  <si>
    <t>Rohan Mehta</t>
  </si>
  <si>
    <t>E006</t>
  </si>
  <si>
    <t>Neha Singh</t>
  </si>
  <si>
    <t>E007</t>
  </si>
  <si>
    <t>Vikram Rao</t>
  </si>
  <si>
    <t>E008</t>
  </si>
  <si>
    <t>Simran Kaur</t>
  </si>
  <si>
    <t>E009</t>
  </si>
  <si>
    <t>Sameer Kulkarni</t>
  </si>
  <si>
    <t>E010</t>
  </si>
  <si>
    <t>Priya Nair</t>
  </si>
  <si>
    <t>E011</t>
  </si>
  <si>
    <t>Kunal Joshi</t>
  </si>
  <si>
    <t>E012</t>
  </si>
  <si>
    <t>Sana Iqbal</t>
  </si>
  <si>
    <t>E013</t>
  </si>
  <si>
    <t>Aditya Reddy</t>
  </si>
  <si>
    <t>E014</t>
  </si>
  <si>
    <t>Meera Chawla</t>
  </si>
  <si>
    <t>E015</t>
  </si>
  <si>
    <t>Harsh Malhotra</t>
  </si>
  <si>
    <t>E016</t>
  </si>
  <si>
    <t>Anika Desai</t>
  </si>
  <si>
    <t>E017</t>
  </si>
  <si>
    <t>Prateek Bhat</t>
  </si>
  <si>
    <t>E018</t>
  </si>
  <si>
    <t>Shreya Ghosh</t>
  </si>
  <si>
    <t>E019</t>
  </si>
  <si>
    <t>Manish Sinha</t>
  </si>
  <si>
    <t>E020</t>
  </si>
  <si>
    <t>Alisha Menon</t>
  </si>
  <si>
    <t>E021</t>
  </si>
  <si>
    <t>Varun Gupta</t>
  </si>
  <si>
    <t>E022</t>
  </si>
  <si>
    <t>Ritika Sharma</t>
  </si>
  <si>
    <t>E023</t>
  </si>
  <si>
    <t>Ankit Agarwal</t>
  </si>
  <si>
    <t>E024</t>
  </si>
  <si>
    <t>Deepa Nambiar</t>
  </si>
  <si>
    <t>E025</t>
  </si>
  <si>
    <t>Siddharth Jain</t>
  </si>
  <si>
    <t>E026</t>
  </si>
  <si>
    <t>Karishma Bhatt</t>
  </si>
  <si>
    <t>E027</t>
  </si>
  <si>
    <t>Nikhil Kapoor</t>
  </si>
  <si>
    <t>E028</t>
  </si>
  <si>
    <t>Rekha Pillai</t>
  </si>
  <si>
    <t>E029</t>
  </si>
  <si>
    <t>Pranav Dutta</t>
  </si>
  <si>
    <t>E030</t>
  </si>
  <si>
    <t>Anushka Roy</t>
  </si>
  <si>
    <t>E031</t>
  </si>
  <si>
    <t>Rajiv Menon</t>
  </si>
  <si>
    <t>E032</t>
  </si>
  <si>
    <t>Shalini Verma</t>
  </si>
  <si>
    <t>E033</t>
  </si>
  <si>
    <t>Mayank Sood</t>
  </si>
  <si>
    <t>E034</t>
  </si>
  <si>
    <t>Anu Thomas</t>
  </si>
  <si>
    <t>E035</t>
  </si>
  <si>
    <t>Arnav Bhattacharya</t>
  </si>
  <si>
    <t>E036</t>
  </si>
  <si>
    <t>Neelam Chatterjee</t>
  </si>
  <si>
    <t>E037</t>
  </si>
  <si>
    <t>Sameer Iyer</t>
  </si>
  <si>
    <t>E038</t>
  </si>
  <si>
    <t>Divya Rao</t>
  </si>
  <si>
    <t>E039</t>
  </si>
  <si>
    <t>Akash Nair</t>
  </si>
  <si>
    <t>E040</t>
  </si>
  <si>
    <t>Smita Kulkarni</t>
  </si>
  <si>
    <t>E041</t>
  </si>
  <si>
    <t>Anirudh Shah</t>
  </si>
  <si>
    <t>E042</t>
  </si>
  <si>
    <t>Parul Mehra</t>
  </si>
  <si>
    <t>E043</t>
  </si>
  <si>
    <t>Devansh Jain</t>
  </si>
  <si>
    <t>E044</t>
  </si>
  <si>
    <t>Neeta Saini</t>
  </si>
  <si>
    <t>E045</t>
  </si>
  <si>
    <t>Arpita Goyal</t>
  </si>
  <si>
    <t>E046</t>
  </si>
  <si>
    <t>Rajesh Nambiar</t>
  </si>
  <si>
    <t>E047</t>
  </si>
  <si>
    <t>Sunita Rao</t>
  </si>
  <si>
    <t>E048</t>
  </si>
  <si>
    <t>Anmol Verma</t>
  </si>
  <si>
    <t>E049</t>
  </si>
  <si>
    <t>Harpreet Singh</t>
  </si>
  <si>
    <t>E050</t>
  </si>
  <si>
    <t>Leena D'Souza</t>
  </si>
  <si>
    <t>E051</t>
  </si>
  <si>
    <t>Prakash Kulkarni</t>
  </si>
  <si>
    <t>E052</t>
  </si>
  <si>
    <t>Shweta Bansal</t>
  </si>
  <si>
    <t>E053</t>
  </si>
  <si>
    <t>Arjun Nair</t>
  </si>
  <si>
    <t>E054</t>
  </si>
  <si>
    <t>Monica Rao</t>
  </si>
  <si>
    <t>E055</t>
  </si>
  <si>
    <t>Vivek Sharma</t>
  </si>
  <si>
    <t>E056</t>
  </si>
  <si>
    <t>Rachna Kapoor</t>
  </si>
  <si>
    <t>E057</t>
  </si>
  <si>
    <t>Anil Deshmukh</t>
  </si>
  <si>
    <t>E058</t>
  </si>
  <si>
    <t>Trisha Banerjee</t>
  </si>
  <si>
    <t>E059</t>
  </si>
  <si>
    <t>Rajeev Menon</t>
  </si>
  <si>
    <t>E060</t>
  </si>
  <si>
    <t>Megha Sinha</t>
  </si>
  <si>
    <t>E061</t>
  </si>
  <si>
    <t>Sameer Patel</t>
  </si>
  <si>
    <t>E062</t>
  </si>
  <si>
    <t>Anjali Rao</t>
  </si>
  <si>
    <t>E063</t>
  </si>
  <si>
    <t>Krishna Iyer</t>
  </si>
  <si>
    <t>E064</t>
  </si>
  <si>
    <t>Shivani Gupta</t>
  </si>
  <si>
    <t>E065</t>
  </si>
  <si>
    <t>Aditya Malhotra</t>
  </si>
  <si>
    <t>E066</t>
  </si>
  <si>
    <t>Pooja Sharma</t>
  </si>
  <si>
    <t>E067</t>
  </si>
  <si>
    <t>Raj Kumar</t>
  </si>
  <si>
    <t>E068</t>
  </si>
  <si>
    <t>Neelima Joshi</t>
  </si>
  <si>
    <t>E069</t>
  </si>
  <si>
    <t>Anupam Roy</t>
  </si>
  <si>
    <t>E070</t>
  </si>
  <si>
    <t>Sonia Bhat</t>
  </si>
  <si>
    <t>E071</t>
  </si>
  <si>
    <t>Arvind Chopra</t>
  </si>
  <si>
    <t>E072</t>
  </si>
  <si>
    <t>Meera Iyer</t>
  </si>
  <si>
    <t>E073</t>
  </si>
  <si>
    <t>Pranav Shah</t>
  </si>
  <si>
    <t>E074</t>
  </si>
  <si>
    <t>Shikha Sood</t>
  </si>
  <si>
    <t>E075</t>
  </si>
  <si>
    <t>Rajeev Gupta</t>
  </si>
  <si>
    <t>E076</t>
  </si>
  <si>
    <t>Anita Menon</t>
  </si>
  <si>
    <t>E077</t>
  </si>
  <si>
    <t>Vinod Bhat</t>
  </si>
  <si>
    <t>E078</t>
  </si>
  <si>
    <t>Anushree Ghosh</t>
  </si>
  <si>
    <t>E079</t>
  </si>
  <si>
    <t>Manu Kapoor</t>
  </si>
  <si>
    <t>E080</t>
  </si>
  <si>
    <t>Reema Nair</t>
  </si>
  <si>
    <t>E081</t>
  </si>
  <si>
    <t>Arjun Verma</t>
  </si>
  <si>
    <t>E082</t>
  </si>
  <si>
    <t>Divya Singh</t>
  </si>
  <si>
    <t>E083</t>
  </si>
  <si>
    <t>Rahul Desai</t>
  </si>
  <si>
    <t>E084</t>
  </si>
  <si>
    <t>Shalini Rao</t>
  </si>
  <si>
    <t>E085</t>
  </si>
  <si>
    <t>Anupama Chatterjee</t>
  </si>
  <si>
    <t>E086</t>
  </si>
  <si>
    <t>Sameer Malhotra</t>
  </si>
  <si>
    <t>E087</t>
  </si>
  <si>
    <t>Neeraj Kumar</t>
  </si>
  <si>
    <t>E088</t>
  </si>
  <si>
    <t>Prerna Bhatt</t>
  </si>
  <si>
    <t>E089</t>
  </si>
  <si>
    <t>Arvind Saini</t>
  </si>
  <si>
    <t>E090</t>
  </si>
  <si>
    <t>Geeta Pillai</t>
  </si>
  <si>
    <t>E091</t>
  </si>
  <si>
    <t>Akshay Mehta</t>
  </si>
  <si>
    <t>E092</t>
  </si>
  <si>
    <t>Anita Iqbal</t>
  </si>
  <si>
    <t>E093</t>
  </si>
  <si>
    <t>Devika Nair</t>
  </si>
  <si>
    <t>E094</t>
  </si>
  <si>
    <t>Rakesh Sharma</t>
  </si>
  <si>
    <t>E095</t>
  </si>
  <si>
    <t>Shreya Kapoor</t>
  </si>
  <si>
    <t>E096</t>
  </si>
  <si>
    <t>Manish Verma</t>
  </si>
  <si>
    <t>E097</t>
  </si>
  <si>
    <t>Sunil Rao</t>
  </si>
  <si>
    <t>E098</t>
  </si>
  <si>
    <t>Ankita Banerjee</t>
  </si>
  <si>
    <t>E099</t>
  </si>
  <si>
    <t>Prakash Singh</t>
  </si>
  <si>
    <t>E100</t>
  </si>
  <si>
    <t>Radha Menon</t>
  </si>
  <si>
    <t>E101</t>
  </si>
  <si>
    <t>Vikram Patel</t>
  </si>
  <si>
    <t>E102</t>
  </si>
  <si>
    <t>Neha Gupta</t>
  </si>
  <si>
    <t>E103</t>
  </si>
  <si>
    <t>Arjun Sharma</t>
  </si>
  <si>
    <t>E104</t>
  </si>
  <si>
    <t>Divya Mehra</t>
  </si>
  <si>
    <t>E105</t>
  </si>
  <si>
    <t>Rohit Nair</t>
  </si>
  <si>
    <t>E106</t>
  </si>
  <si>
    <t>Anjali Joshi</t>
  </si>
  <si>
    <t>E107</t>
  </si>
  <si>
    <t>Praveen Kumar</t>
  </si>
  <si>
    <t>E108</t>
  </si>
  <si>
    <t>Shweta Rao</t>
  </si>
  <si>
    <t>E109</t>
  </si>
  <si>
    <t>Manisha Sood</t>
  </si>
  <si>
    <t>E110</t>
  </si>
  <si>
    <t>Arun D'Souza</t>
  </si>
  <si>
    <t>E111</t>
  </si>
  <si>
    <t>Neeraj Sharma</t>
  </si>
  <si>
    <t>E112</t>
  </si>
  <si>
    <t>Megha Verma</t>
  </si>
  <si>
    <t>E113</t>
  </si>
  <si>
    <t>Aditya Kapoor</t>
  </si>
  <si>
    <t>E114</t>
  </si>
  <si>
    <t>Sunita Chawla</t>
  </si>
  <si>
    <t>E115</t>
  </si>
  <si>
    <t>Rahul Bhatt</t>
  </si>
  <si>
    <t>E116</t>
  </si>
  <si>
    <t>Anita Reddy</t>
  </si>
  <si>
    <t>E117</t>
  </si>
  <si>
    <t>Prakash Iyer</t>
  </si>
  <si>
    <t>E118</t>
  </si>
  <si>
    <t>Swati Banerjee</t>
  </si>
  <si>
    <t>E119</t>
  </si>
  <si>
    <t>Manoj Menon</t>
  </si>
  <si>
    <t>E120</t>
  </si>
  <si>
    <t>Neha Saini</t>
  </si>
  <si>
    <t>E121</t>
  </si>
  <si>
    <t>Arjun Gupta</t>
  </si>
  <si>
    <t>E122</t>
  </si>
  <si>
    <t>Shreya Sharma</t>
  </si>
  <si>
    <t>E123</t>
  </si>
  <si>
    <t>Varun Joshi</t>
  </si>
  <si>
    <t>E124</t>
  </si>
  <si>
    <t>Deepika Rao</t>
  </si>
  <si>
    <t>E125</t>
  </si>
  <si>
    <t>Sameer Khan</t>
  </si>
  <si>
    <t>E126</t>
  </si>
  <si>
    <t>Anjali Menon</t>
  </si>
  <si>
    <t>E127</t>
  </si>
  <si>
    <t>Rajesh Patel</t>
  </si>
  <si>
    <t>E128</t>
  </si>
  <si>
    <t>Meera Nambiar</t>
  </si>
  <si>
    <t>E129</t>
  </si>
  <si>
    <t>Pranav Kulkarni</t>
  </si>
  <si>
    <t>E130</t>
  </si>
  <si>
    <t>Sunita Dutta</t>
  </si>
  <si>
    <t>E131</t>
  </si>
  <si>
    <t>Arnav Sharma</t>
  </si>
  <si>
    <t>E132</t>
  </si>
  <si>
    <t>Anita Verma</t>
  </si>
  <si>
    <t>E133</t>
  </si>
  <si>
    <t>Krishna Menon</t>
  </si>
  <si>
    <t>E134</t>
  </si>
  <si>
    <t>Rekha Malhotra</t>
  </si>
  <si>
    <t>E135</t>
  </si>
  <si>
    <t>Rahul Chopra</t>
  </si>
  <si>
    <t>E136</t>
  </si>
  <si>
    <t>Neha Bhattacharya</t>
  </si>
  <si>
    <t>E137</t>
  </si>
  <si>
    <t>Pradeep Iyer</t>
  </si>
  <si>
    <t>E138</t>
  </si>
  <si>
    <t>Ankita Ghosh</t>
  </si>
  <si>
    <t>E139</t>
  </si>
  <si>
    <t>Manish Nair</t>
  </si>
  <si>
    <t>E140</t>
  </si>
  <si>
    <t>Divya Kulkarni</t>
  </si>
  <si>
    <t>E141</t>
  </si>
  <si>
    <t>Aditya Shah</t>
  </si>
  <si>
    <t>E142</t>
  </si>
  <si>
    <t>Shalini Menon</t>
  </si>
  <si>
    <t>E143</t>
  </si>
  <si>
    <t>Arjun Bhat</t>
  </si>
  <si>
    <t>E144</t>
  </si>
  <si>
    <t>Neeta Gupta</t>
  </si>
  <si>
    <t>E145</t>
  </si>
  <si>
    <t>Prerna Kapoor</t>
  </si>
  <si>
    <t>E146</t>
  </si>
  <si>
    <t>Rajiv Desai</t>
  </si>
  <si>
    <t>E147</t>
  </si>
  <si>
    <t>Anupama Rao</t>
  </si>
  <si>
    <t>E148</t>
  </si>
  <si>
    <t>Sameer Verma</t>
  </si>
  <si>
    <t>E149</t>
  </si>
  <si>
    <t>Meera Singh</t>
  </si>
  <si>
    <t>E150</t>
  </si>
  <si>
    <t>Arun Menon</t>
  </si>
  <si>
    <t>E151</t>
  </si>
  <si>
    <t>Neeraj Gupta</t>
  </si>
  <si>
    <t>E152</t>
  </si>
  <si>
    <t>Shweta Sharma</t>
  </si>
  <si>
    <t>E153</t>
  </si>
  <si>
    <t>Pratik Patel</t>
  </si>
  <si>
    <t>E154</t>
  </si>
  <si>
    <t>Anjali Chawla</t>
  </si>
  <si>
    <t>E155</t>
  </si>
  <si>
    <t>Rohit Bhatt</t>
  </si>
  <si>
    <t>E156</t>
  </si>
  <si>
    <t>Divya Reddy</t>
  </si>
  <si>
    <t>E157</t>
  </si>
  <si>
    <t>Sunil Iyer</t>
  </si>
  <si>
    <t>E158</t>
  </si>
  <si>
    <t>Megha Banerjee</t>
  </si>
  <si>
    <t>E159</t>
  </si>
  <si>
    <t>Arvind Menon</t>
  </si>
  <si>
    <t>E160</t>
  </si>
  <si>
    <t>Anita Saini</t>
  </si>
  <si>
    <t>E161</t>
  </si>
  <si>
    <t>Prakash Sharma</t>
  </si>
  <si>
    <t>E162</t>
  </si>
  <si>
    <t>Neha Verma</t>
  </si>
  <si>
    <t>E163</t>
  </si>
  <si>
    <t>Aditya Joshi</t>
  </si>
  <si>
    <t>E164</t>
  </si>
  <si>
    <t>Shweta Kapoor</t>
  </si>
  <si>
    <t>E165</t>
  </si>
  <si>
    <t>Manish Reddy</t>
  </si>
  <si>
    <t>E166</t>
  </si>
  <si>
    <t>Anjali Dutta</t>
  </si>
  <si>
    <t>E167</t>
  </si>
  <si>
    <t>Rajesh Iyer</t>
  </si>
  <si>
    <t>E168</t>
  </si>
  <si>
    <t>Meera Shah</t>
  </si>
  <si>
    <t>E169</t>
  </si>
  <si>
    <t>Pranav Sood</t>
  </si>
  <si>
    <t>E170</t>
  </si>
  <si>
    <t>Sunita Menon</t>
  </si>
  <si>
    <t>E171</t>
  </si>
  <si>
    <t>Arjun Chopra</t>
  </si>
  <si>
    <t>E172</t>
  </si>
  <si>
    <t>Neha Nair</t>
  </si>
  <si>
    <t>E173</t>
  </si>
  <si>
    <t>Devanshi Gupta</t>
  </si>
  <si>
    <t>E174</t>
  </si>
  <si>
    <t>Rakesh Verma</t>
  </si>
  <si>
    <t>E175</t>
  </si>
  <si>
    <t>Shreya Patel</t>
  </si>
  <si>
    <t>E176</t>
  </si>
  <si>
    <t>Anil Menon</t>
  </si>
  <si>
    <t>E177</t>
  </si>
  <si>
    <t>Rekha Bhat</t>
  </si>
  <si>
    <t>E178</t>
  </si>
  <si>
    <t>Pratik Ghosh</t>
  </si>
  <si>
    <t>E179</t>
  </si>
  <si>
    <t>Manish Kapoor</t>
  </si>
  <si>
    <t>E180</t>
  </si>
  <si>
    <t>Divya Nambiar</t>
  </si>
  <si>
    <t>E181</t>
  </si>
  <si>
    <t>Arjun Kumar</t>
  </si>
  <si>
    <t>E182</t>
  </si>
  <si>
    <t>Shalini Iqbal</t>
  </si>
  <si>
    <t>E183</t>
  </si>
  <si>
    <t>Krishna Sharma</t>
  </si>
  <si>
    <t>E184</t>
  </si>
  <si>
    <t>Neeta Menon</t>
  </si>
  <si>
    <t>E185</t>
  </si>
  <si>
    <t>Rahul Nair</t>
  </si>
  <si>
    <t>E186</t>
  </si>
  <si>
    <t>Anita Kulkarni</t>
  </si>
  <si>
    <t>E187</t>
  </si>
  <si>
    <t>Praveen Shah</t>
  </si>
  <si>
    <t>E188</t>
  </si>
  <si>
    <t>Megha Bhatt</t>
  </si>
  <si>
    <t>E189</t>
  </si>
  <si>
    <t>Arvind Gupta</t>
  </si>
  <si>
    <t>E190</t>
  </si>
  <si>
    <t>Sunita D'Souza</t>
  </si>
  <si>
    <t>E191</t>
  </si>
  <si>
    <t>Aditya Mehta</t>
  </si>
  <si>
    <t>E192</t>
  </si>
  <si>
    <t>Neha Chopra</t>
  </si>
  <si>
    <t>E193</t>
  </si>
  <si>
    <t>Devansh Rao</t>
  </si>
  <si>
    <t>E194</t>
  </si>
  <si>
    <t>Shreya Menon</t>
  </si>
  <si>
    <t>E195</t>
  </si>
  <si>
    <t>Manish Shah</t>
  </si>
  <si>
    <t>E196</t>
  </si>
  <si>
    <t>Anjali Iyer</t>
  </si>
  <si>
    <t>E197</t>
  </si>
  <si>
    <t>Prakash Bhatt</t>
  </si>
  <si>
    <t>E198</t>
  </si>
  <si>
    <t>Meera Ghosh</t>
  </si>
  <si>
    <t>E199</t>
  </si>
  <si>
    <t>Arjun Singh</t>
  </si>
  <si>
    <t>E200</t>
  </si>
  <si>
    <t>Neeta Patel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</si>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</sst>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68" fontId="0" fillId="0" borderId="3" xfId="0" applyNumberFormat="1" applyBorder="1"/>
    <xf numFmtId="168" fontId="0" fillId="0" borderId="9" xfId="0" applyNumberFormat="1" applyBorder="1"/>
    <xf numFmtId="0" fontId="0" fillId="0" borderId="1" xfId="0" applyNumberFormat="1" applyBorder="1"/>
    <xf numFmtId="0" fontId="0" fillId="0" borderId="5" xfId="0" applyNumberFormat="1" applyBorder="1"/>
    <xf numFmtId="0" fontId="0" fillId="0" borderId="8" xfId="0" applyNumberFormat="1" applyBorder="1"/>
  </cellXfs>
  <cellStyles count="1">
    <cellStyle name="Normal" xfId="0" builtinId="0"/>
  </cellStyles>
  <dxfs count="10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[$-14009]dd/mm/yyyy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cel%20Practice\For%20Golu\IndexMatchDemo.xlsx" TargetMode="External"/><Relationship Id="rId1" Type="http://schemas.openxmlformats.org/officeDocument/2006/relationships/externalLinkPath" Target="IndexMatch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3)"/>
      <sheetName val="Sheet1 (2)"/>
      <sheetName val="Sheet1"/>
      <sheetName val="Sheet2"/>
      <sheetName val="Sheet5"/>
      <sheetName val="Sheet5 (2)"/>
      <sheetName val="Sheet6"/>
    </sheetNames>
    <sheetDataSet>
      <sheetData sheetId="0"/>
      <sheetData sheetId="1"/>
      <sheetData sheetId="2">
        <row r="1">
          <cell r="A1" t="str">
            <v>EmpID</v>
          </cell>
          <cell r="C1" t="str">
            <v>Department</v>
          </cell>
          <cell r="D1" t="str">
            <v>Salary</v>
          </cell>
          <cell r="E1" t="str">
            <v>JoinDate</v>
          </cell>
        </row>
        <row r="2">
          <cell r="A2" t="str">
            <v>E001</v>
          </cell>
          <cell r="C2" t="str">
            <v>Sales</v>
          </cell>
          <cell r="D2">
            <v>52000</v>
          </cell>
          <cell r="E2">
            <v>43536</v>
          </cell>
        </row>
        <row r="3">
          <cell r="A3" t="str">
            <v>E002</v>
          </cell>
          <cell r="C3" t="str">
            <v>HR</v>
          </cell>
          <cell r="D3">
            <v>48000</v>
          </cell>
          <cell r="E3">
            <v>44013</v>
          </cell>
        </row>
        <row r="4">
          <cell r="A4" t="str">
            <v>E003</v>
          </cell>
          <cell r="C4" t="str">
            <v>IT</v>
          </cell>
          <cell r="D4">
            <v>75000</v>
          </cell>
          <cell r="E4">
            <v>43424</v>
          </cell>
        </row>
        <row r="5">
          <cell r="A5" t="str">
            <v>E004</v>
          </cell>
          <cell r="C5" t="str">
            <v>Finance</v>
          </cell>
          <cell r="D5">
            <v>61000</v>
          </cell>
          <cell r="E5">
            <v>44211</v>
          </cell>
        </row>
        <row r="6">
          <cell r="A6" t="str">
            <v>E005</v>
          </cell>
          <cell r="C6" t="str">
            <v>Marketing</v>
          </cell>
          <cell r="D6">
            <v>69000</v>
          </cell>
          <cell r="E6">
            <v>42916</v>
          </cell>
        </row>
        <row r="7">
          <cell r="A7" t="str">
            <v>E006</v>
          </cell>
          <cell r="C7" t="str">
            <v>Operations</v>
          </cell>
          <cell r="D7">
            <v>72000</v>
          </cell>
          <cell r="E7">
            <v>44809</v>
          </cell>
        </row>
        <row r="8">
          <cell r="A8" t="str">
            <v>E007</v>
          </cell>
          <cell r="C8" t="str">
            <v>Legal</v>
          </cell>
          <cell r="D8">
            <v>50000</v>
          </cell>
          <cell r="E8">
            <v>43809</v>
          </cell>
        </row>
        <row r="9">
          <cell r="A9" t="str">
            <v>E008</v>
          </cell>
          <cell r="C9" t="str">
            <v>R&amp;D</v>
          </cell>
          <cell r="D9">
            <v>66000</v>
          </cell>
          <cell r="E9">
            <v>43886</v>
          </cell>
        </row>
        <row r="10">
          <cell r="A10" t="str">
            <v>E009</v>
          </cell>
          <cell r="C10" t="str">
            <v>Support</v>
          </cell>
          <cell r="D10">
            <v>58000</v>
          </cell>
          <cell r="E10">
            <v>42600</v>
          </cell>
        </row>
        <row r="11">
          <cell r="A11" t="str">
            <v>E010</v>
          </cell>
          <cell r="C11" t="str">
            <v>Admin</v>
          </cell>
          <cell r="D11">
            <v>45000</v>
          </cell>
          <cell r="E11">
            <v>42146</v>
          </cell>
        </row>
        <row r="12">
          <cell r="A12" t="str">
            <v>E011</v>
          </cell>
          <cell r="C12" t="str">
            <v>Sales</v>
          </cell>
          <cell r="D12">
            <v>80000</v>
          </cell>
          <cell r="E12">
            <v>43193</v>
          </cell>
        </row>
        <row r="13">
          <cell r="A13" t="str">
            <v>E012</v>
          </cell>
          <cell r="C13" t="str">
            <v>HR</v>
          </cell>
          <cell r="D13">
            <v>54000</v>
          </cell>
          <cell r="E13">
            <v>42992</v>
          </cell>
        </row>
        <row r="14">
          <cell r="A14" t="str">
            <v>E013</v>
          </cell>
          <cell r="C14" t="str">
            <v>IT</v>
          </cell>
          <cell r="D14">
            <v>47000</v>
          </cell>
          <cell r="E14">
            <v>44502</v>
          </cell>
        </row>
        <row r="15">
          <cell r="A15" t="str">
            <v>E014</v>
          </cell>
          <cell r="C15" t="str">
            <v>Finance</v>
          </cell>
          <cell r="D15">
            <v>90000</v>
          </cell>
          <cell r="E15">
            <v>42396</v>
          </cell>
        </row>
        <row r="16">
          <cell r="A16" t="str">
            <v>E015</v>
          </cell>
          <cell r="C16" t="str">
            <v>Marketing</v>
          </cell>
          <cell r="D16">
            <v>62000</v>
          </cell>
          <cell r="E16">
            <v>43635</v>
          </cell>
        </row>
        <row r="17">
          <cell r="A17" t="str">
            <v>E016</v>
          </cell>
          <cell r="C17" t="str">
            <v>Operations</v>
          </cell>
          <cell r="D17">
            <v>73000</v>
          </cell>
          <cell r="E17">
            <v>44112</v>
          </cell>
        </row>
        <row r="18">
          <cell r="A18" t="str">
            <v>E017</v>
          </cell>
          <cell r="C18" t="str">
            <v>Legal</v>
          </cell>
          <cell r="D18">
            <v>56000</v>
          </cell>
          <cell r="E18">
            <v>42343</v>
          </cell>
        </row>
        <row r="19">
          <cell r="A19" t="str">
            <v>E018</v>
          </cell>
          <cell r="C19" t="str">
            <v>R&amp;D</v>
          </cell>
          <cell r="D19">
            <v>67000</v>
          </cell>
          <cell r="E19">
            <v>43152</v>
          </cell>
        </row>
        <row r="20">
          <cell r="A20" t="str">
            <v>E019</v>
          </cell>
          <cell r="C20" t="str">
            <v>Support</v>
          </cell>
          <cell r="D20">
            <v>71000</v>
          </cell>
          <cell r="E20">
            <v>44650</v>
          </cell>
        </row>
        <row r="21">
          <cell r="A21" t="str">
            <v>E020</v>
          </cell>
          <cell r="C21" t="str">
            <v>Admin</v>
          </cell>
          <cell r="D21">
            <v>64000</v>
          </cell>
          <cell r="E21">
            <v>42927</v>
          </cell>
        </row>
        <row r="22">
          <cell r="A22" t="str">
            <v>E021</v>
          </cell>
          <cell r="C22" t="str">
            <v>Sales</v>
          </cell>
          <cell r="D22">
            <v>52000</v>
          </cell>
          <cell r="E22">
            <v>43474</v>
          </cell>
        </row>
        <row r="23">
          <cell r="A23" t="str">
            <v>E022</v>
          </cell>
          <cell r="C23" t="str">
            <v>HR</v>
          </cell>
          <cell r="D23">
            <v>48000</v>
          </cell>
          <cell r="E23">
            <v>43967</v>
          </cell>
        </row>
        <row r="24">
          <cell r="A24" t="str">
            <v>E023</v>
          </cell>
          <cell r="C24" t="str">
            <v>IT</v>
          </cell>
          <cell r="D24">
            <v>75000</v>
          </cell>
          <cell r="E24">
            <v>43377</v>
          </cell>
        </row>
        <row r="25">
          <cell r="A25" t="str">
            <v>E024</v>
          </cell>
          <cell r="C25" t="str">
            <v>Finance</v>
          </cell>
          <cell r="D25">
            <v>61000</v>
          </cell>
          <cell r="E25">
            <v>44247</v>
          </cell>
        </row>
        <row r="26">
          <cell r="A26" t="str">
            <v>E025</v>
          </cell>
          <cell r="C26" t="str">
            <v>Marketing</v>
          </cell>
          <cell r="D26">
            <v>69000</v>
          </cell>
          <cell r="E26">
            <v>42976</v>
          </cell>
        </row>
        <row r="27">
          <cell r="A27" t="str">
            <v>E026</v>
          </cell>
          <cell r="C27" t="str">
            <v>Operations</v>
          </cell>
          <cell r="D27">
            <v>72000</v>
          </cell>
          <cell r="E27">
            <v>44725</v>
          </cell>
        </row>
        <row r="28">
          <cell r="A28" t="str">
            <v>E027</v>
          </cell>
          <cell r="C28" t="str">
            <v>Legal</v>
          </cell>
          <cell r="D28">
            <v>50000</v>
          </cell>
          <cell r="E28">
            <v>43776</v>
          </cell>
        </row>
        <row r="29">
          <cell r="A29" t="str">
            <v>E028</v>
          </cell>
          <cell r="C29" t="str">
            <v>R&amp;D</v>
          </cell>
          <cell r="D29">
            <v>66000</v>
          </cell>
          <cell r="E29">
            <v>43908</v>
          </cell>
        </row>
        <row r="30">
          <cell r="A30" t="str">
            <v>E029</v>
          </cell>
          <cell r="C30" t="str">
            <v>Support</v>
          </cell>
          <cell r="D30">
            <v>58000</v>
          </cell>
          <cell r="E30">
            <v>42638</v>
          </cell>
        </row>
        <row r="31">
          <cell r="A31" t="str">
            <v>E030</v>
          </cell>
          <cell r="C31" t="str">
            <v>Admin</v>
          </cell>
          <cell r="D31">
            <v>45000</v>
          </cell>
          <cell r="E31">
            <v>42108</v>
          </cell>
        </row>
        <row r="32">
          <cell r="A32" t="str">
            <v>E031</v>
          </cell>
          <cell r="C32" t="str">
            <v>Sales</v>
          </cell>
          <cell r="D32">
            <v>80000</v>
          </cell>
          <cell r="E32">
            <v>43272</v>
          </cell>
        </row>
        <row r="33">
          <cell r="A33" t="str">
            <v>E032</v>
          </cell>
          <cell r="C33" t="str">
            <v>HR</v>
          </cell>
          <cell r="D33">
            <v>54000</v>
          </cell>
          <cell r="E33">
            <v>43038</v>
          </cell>
        </row>
        <row r="34">
          <cell r="A34" t="str">
            <v>E033</v>
          </cell>
          <cell r="C34" t="str">
            <v>IT</v>
          </cell>
          <cell r="D34">
            <v>47000</v>
          </cell>
          <cell r="E34">
            <v>44542</v>
          </cell>
        </row>
        <row r="35">
          <cell r="A35" t="str">
            <v>E034</v>
          </cell>
          <cell r="C35" t="str">
            <v>Finance</v>
          </cell>
          <cell r="D35">
            <v>90000</v>
          </cell>
          <cell r="E35">
            <v>42408</v>
          </cell>
        </row>
        <row r="36">
          <cell r="A36" t="str">
            <v>E035</v>
          </cell>
          <cell r="C36" t="str">
            <v>Marketing</v>
          </cell>
          <cell r="D36">
            <v>62000</v>
          </cell>
          <cell r="E36">
            <v>43588</v>
          </cell>
        </row>
        <row r="37">
          <cell r="A37" t="str">
            <v>E036</v>
          </cell>
          <cell r="C37" t="str">
            <v>Operations</v>
          </cell>
          <cell r="D37">
            <v>73000</v>
          </cell>
          <cell r="E37">
            <v>44070</v>
          </cell>
        </row>
        <row r="38">
          <cell r="A38" t="str">
            <v>E037</v>
          </cell>
          <cell r="C38" t="str">
            <v>Legal</v>
          </cell>
          <cell r="D38">
            <v>56000</v>
          </cell>
          <cell r="E38">
            <v>42324</v>
          </cell>
        </row>
        <row r="39">
          <cell r="A39" t="str">
            <v>E038</v>
          </cell>
          <cell r="C39" t="str">
            <v>R&amp;D</v>
          </cell>
          <cell r="D39">
            <v>67000</v>
          </cell>
          <cell r="E39">
            <v>43105</v>
          </cell>
        </row>
        <row r="40">
          <cell r="A40" t="str">
            <v>E039</v>
          </cell>
          <cell r="C40" t="str">
            <v>Support</v>
          </cell>
          <cell r="D40">
            <v>71000</v>
          </cell>
          <cell r="E40">
            <v>44673</v>
          </cell>
        </row>
        <row r="41">
          <cell r="A41" t="str">
            <v>E040</v>
          </cell>
          <cell r="C41" t="str">
            <v>Admin</v>
          </cell>
          <cell r="D41">
            <v>64000</v>
          </cell>
          <cell r="E41">
            <v>42803</v>
          </cell>
        </row>
        <row r="42">
          <cell r="A42" t="str">
            <v>E041</v>
          </cell>
          <cell r="C42" t="str">
            <v>Sales</v>
          </cell>
          <cell r="D42">
            <v>52000</v>
          </cell>
          <cell r="E42">
            <v>43674</v>
          </cell>
        </row>
        <row r="43">
          <cell r="A43" t="str">
            <v>E042</v>
          </cell>
          <cell r="C43" t="str">
            <v>HR</v>
          </cell>
          <cell r="D43">
            <v>48000</v>
          </cell>
          <cell r="E43">
            <v>44141</v>
          </cell>
        </row>
        <row r="44">
          <cell r="A44" t="str">
            <v>E043</v>
          </cell>
          <cell r="C44" t="str">
            <v>IT</v>
          </cell>
          <cell r="D44">
            <v>75000</v>
          </cell>
          <cell r="E44">
            <v>43237</v>
          </cell>
        </row>
        <row r="45">
          <cell r="A45" t="str">
            <v>E044</v>
          </cell>
          <cell r="C45" t="str">
            <v>Finance</v>
          </cell>
          <cell r="D45">
            <v>61000</v>
          </cell>
          <cell r="E45">
            <v>44440</v>
          </cell>
        </row>
        <row r="46">
          <cell r="A46" t="str">
            <v>E045</v>
          </cell>
          <cell r="C46" t="str">
            <v>Marketing</v>
          </cell>
          <cell r="D46">
            <v>69000</v>
          </cell>
          <cell r="E46">
            <v>42779</v>
          </cell>
        </row>
        <row r="47">
          <cell r="A47" t="str">
            <v>E046</v>
          </cell>
          <cell r="C47" t="str">
            <v>Operations</v>
          </cell>
          <cell r="D47">
            <v>72000</v>
          </cell>
          <cell r="E47">
            <v>44914</v>
          </cell>
        </row>
        <row r="48">
          <cell r="A48" t="str">
            <v>E047</v>
          </cell>
          <cell r="C48" t="str">
            <v>Legal</v>
          </cell>
          <cell r="D48">
            <v>50000</v>
          </cell>
          <cell r="E48">
            <v>43701</v>
          </cell>
        </row>
        <row r="49">
          <cell r="A49" t="str">
            <v>E048</v>
          </cell>
          <cell r="C49" t="str">
            <v>R&amp;D</v>
          </cell>
          <cell r="D49">
            <v>66000</v>
          </cell>
          <cell r="E49">
            <v>43837</v>
          </cell>
        </row>
        <row r="50">
          <cell r="A50" t="str">
            <v>E049</v>
          </cell>
          <cell r="C50" t="str">
            <v>Support</v>
          </cell>
          <cell r="D50">
            <v>58000</v>
          </cell>
          <cell r="E50">
            <v>42523</v>
          </cell>
        </row>
        <row r="51">
          <cell r="A51" t="str">
            <v>E050</v>
          </cell>
          <cell r="C51" t="str">
            <v>Admin</v>
          </cell>
          <cell r="D51">
            <v>45000</v>
          </cell>
          <cell r="E51">
            <v>42308</v>
          </cell>
        </row>
        <row r="52">
          <cell r="A52" t="str">
            <v>E051</v>
          </cell>
          <cell r="C52" t="str">
            <v>Sales</v>
          </cell>
          <cell r="D52">
            <v>80000</v>
          </cell>
          <cell r="E52">
            <v>43354</v>
          </cell>
        </row>
        <row r="53">
          <cell r="A53" t="str">
            <v>E052</v>
          </cell>
          <cell r="C53" t="str">
            <v>HR</v>
          </cell>
          <cell r="D53">
            <v>54000</v>
          </cell>
          <cell r="E53">
            <v>42757</v>
          </cell>
        </row>
        <row r="54">
          <cell r="A54" t="str">
            <v>E053</v>
          </cell>
          <cell r="C54" t="str">
            <v>IT</v>
          </cell>
          <cell r="D54">
            <v>47000</v>
          </cell>
          <cell r="E54">
            <v>44269</v>
          </cell>
        </row>
        <row r="55">
          <cell r="A55" t="str">
            <v>E054</v>
          </cell>
          <cell r="C55" t="str">
            <v>Finance</v>
          </cell>
          <cell r="D55">
            <v>90000</v>
          </cell>
          <cell r="E55">
            <v>42556</v>
          </cell>
        </row>
        <row r="56">
          <cell r="A56" t="str">
            <v>E055</v>
          </cell>
          <cell r="C56" t="str">
            <v>Marketing</v>
          </cell>
          <cell r="D56">
            <v>62000</v>
          </cell>
          <cell r="E56">
            <v>43764</v>
          </cell>
        </row>
        <row r="57">
          <cell r="A57" t="str">
            <v>E056</v>
          </cell>
          <cell r="C57" t="str">
            <v>Operations</v>
          </cell>
          <cell r="D57">
            <v>73000</v>
          </cell>
          <cell r="E57">
            <v>43863</v>
          </cell>
        </row>
        <row r="58">
          <cell r="A58" t="str">
            <v>E057</v>
          </cell>
          <cell r="C58" t="str">
            <v>Legal</v>
          </cell>
          <cell r="D58">
            <v>56000</v>
          </cell>
          <cell r="E58">
            <v>42173</v>
          </cell>
        </row>
        <row r="59">
          <cell r="A59" t="str">
            <v>E058</v>
          </cell>
          <cell r="C59" t="str">
            <v>R&amp;D</v>
          </cell>
          <cell r="D59">
            <v>67000</v>
          </cell>
          <cell r="E59">
            <v>43443</v>
          </cell>
        </row>
        <row r="60">
          <cell r="A60" t="str">
            <v>E059</v>
          </cell>
          <cell r="C60" t="str">
            <v>Support</v>
          </cell>
          <cell r="D60">
            <v>71000</v>
          </cell>
          <cell r="E60">
            <v>44581</v>
          </cell>
        </row>
        <row r="61">
          <cell r="A61" t="str">
            <v>E060</v>
          </cell>
          <cell r="C61" t="str">
            <v>Admin</v>
          </cell>
          <cell r="D61">
            <v>64000</v>
          </cell>
          <cell r="E61">
            <v>43068</v>
          </cell>
        </row>
        <row r="62">
          <cell r="A62" t="str">
            <v>E061</v>
          </cell>
          <cell r="C62" t="str">
            <v>Sales</v>
          </cell>
          <cell r="D62">
            <v>52000</v>
          </cell>
          <cell r="E62">
            <v>43502</v>
          </cell>
        </row>
        <row r="63">
          <cell r="A63" t="str">
            <v>E062</v>
          </cell>
          <cell r="C63" t="str">
            <v>HR</v>
          </cell>
          <cell r="D63">
            <v>48000</v>
          </cell>
          <cell r="E63">
            <v>43997</v>
          </cell>
        </row>
        <row r="64">
          <cell r="A64" t="str">
            <v>E063</v>
          </cell>
          <cell r="C64" t="str">
            <v>IT</v>
          </cell>
          <cell r="D64">
            <v>75000</v>
          </cell>
          <cell r="E64">
            <v>43335</v>
          </cell>
        </row>
        <row r="65">
          <cell r="A65" t="str">
            <v>E064</v>
          </cell>
          <cell r="C65" t="str">
            <v>Finance</v>
          </cell>
          <cell r="D65">
            <v>61000</v>
          </cell>
          <cell r="E65">
            <v>44296</v>
          </cell>
        </row>
        <row r="66">
          <cell r="A66" t="str">
            <v>E065</v>
          </cell>
          <cell r="C66" t="str">
            <v>Marketing</v>
          </cell>
          <cell r="D66">
            <v>69000</v>
          </cell>
          <cell r="E66">
            <v>43070</v>
          </cell>
        </row>
        <row r="67">
          <cell r="A67" t="str">
            <v>E066</v>
          </cell>
          <cell r="C67" t="str">
            <v>Operations</v>
          </cell>
          <cell r="D67">
            <v>72000</v>
          </cell>
          <cell r="E67">
            <v>44688</v>
          </cell>
        </row>
        <row r="68">
          <cell r="A68" t="str">
            <v>E067</v>
          </cell>
          <cell r="C68" t="str">
            <v>Legal</v>
          </cell>
          <cell r="D68">
            <v>50000</v>
          </cell>
          <cell r="E68">
            <v>43751</v>
          </cell>
        </row>
        <row r="69">
          <cell r="A69" t="str">
            <v>E068</v>
          </cell>
          <cell r="C69" t="str">
            <v>R&amp;D</v>
          </cell>
          <cell r="D69">
            <v>66000</v>
          </cell>
          <cell r="E69">
            <v>44076</v>
          </cell>
        </row>
        <row r="70">
          <cell r="A70" t="str">
            <v>E069</v>
          </cell>
          <cell r="C70" t="str">
            <v>Support</v>
          </cell>
          <cell r="D70">
            <v>58000</v>
          </cell>
          <cell r="E70">
            <v>42450</v>
          </cell>
        </row>
        <row r="71">
          <cell r="A71" t="str">
            <v>E070</v>
          </cell>
          <cell r="C71" t="str">
            <v>Admin</v>
          </cell>
          <cell r="D71">
            <v>45000</v>
          </cell>
          <cell r="E71">
            <v>42232</v>
          </cell>
        </row>
        <row r="72">
          <cell r="A72" t="str">
            <v>E071</v>
          </cell>
          <cell r="C72" t="str">
            <v>Sales</v>
          </cell>
          <cell r="D72">
            <v>80000</v>
          </cell>
          <cell r="E72">
            <v>43159</v>
          </cell>
        </row>
        <row r="73">
          <cell r="A73" t="str">
            <v>E072</v>
          </cell>
          <cell r="C73" t="str">
            <v>HR</v>
          </cell>
          <cell r="D73">
            <v>54000</v>
          </cell>
          <cell r="E73">
            <v>42834</v>
          </cell>
        </row>
        <row r="74">
          <cell r="A74" t="str">
            <v>E073</v>
          </cell>
          <cell r="C74" t="str">
            <v>IT</v>
          </cell>
          <cell r="D74">
            <v>47000</v>
          </cell>
          <cell r="E74">
            <v>44365</v>
          </cell>
        </row>
        <row r="75">
          <cell r="A75" t="str">
            <v>E074</v>
          </cell>
          <cell r="C75" t="str">
            <v>Finance</v>
          </cell>
          <cell r="D75">
            <v>90000</v>
          </cell>
          <cell r="E75">
            <v>42670</v>
          </cell>
        </row>
        <row r="76">
          <cell r="A76" t="str">
            <v>E075</v>
          </cell>
          <cell r="C76" t="str">
            <v>Marketing</v>
          </cell>
          <cell r="D76">
            <v>62000</v>
          </cell>
          <cell r="E76">
            <v>43777</v>
          </cell>
        </row>
        <row r="77">
          <cell r="A77" t="str">
            <v>E076</v>
          </cell>
          <cell r="C77" t="str">
            <v>Operations</v>
          </cell>
          <cell r="D77">
            <v>73000</v>
          </cell>
          <cell r="E77">
            <v>43860</v>
          </cell>
        </row>
        <row r="78">
          <cell r="A78" t="str">
            <v>E077</v>
          </cell>
          <cell r="C78" t="str">
            <v>Legal</v>
          </cell>
          <cell r="D78">
            <v>56000</v>
          </cell>
          <cell r="E78">
            <v>42066</v>
          </cell>
        </row>
        <row r="79">
          <cell r="A79" t="str">
            <v>E078</v>
          </cell>
          <cell r="C79" t="str">
            <v>R&amp;D</v>
          </cell>
          <cell r="D79">
            <v>67000</v>
          </cell>
          <cell r="E79">
            <v>43293</v>
          </cell>
        </row>
        <row r="80">
          <cell r="A80" t="str">
            <v>E079</v>
          </cell>
          <cell r="C80" t="str">
            <v>Support</v>
          </cell>
          <cell r="D80">
            <v>71000</v>
          </cell>
          <cell r="E80">
            <v>44798</v>
          </cell>
        </row>
        <row r="81">
          <cell r="A81" t="str">
            <v>E080</v>
          </cell>
          <cell r="C81" t="str">
            <v>Admin</v>
          </cell>
          <cell r="D81">
            <v>64000</v>
          </cell>
          <cell r="E81">
            <v>42992</v>
          </cell>
        </row>
        <row r="82">
          <cell r="A82" t="str">
            <v>E081</v>
          </cell>
          <cell r="C82" t="str">
            <v>Sales</v>
          </cell>
          <cell r="D82">
            <v>52000</v>
          </cell>
          <cell r="E82">
            <v>43590</v>
          </cell>
        </row>
        <row r="83">
          <cell r="A83" t="str">
            <v>E082</v>
          </cell>
          <cell r="C83" t="str">
            <v>HR</v>
          </cell>
          <cell r="D83">
            <v>48000</v>
          </cell>
          <cell r="E83">
            <v>43913</v>
          </cell>
        </row>
        <row r="84">
          <cell r="A84" t="str">
            <v>E083</v>
          </cell>
          <cell r="C84" t="str">
            <v>IT</v>
          </cell>
          <cell r="D84">
            <v>75000</v>
          </cell>
          <cell r="E84">
            <v>43130</v>
          </cell>
        </row>
        <row r="85">
          <cell r="A85" t="str">
            <v>E084</v>
          </cell>
          <cell r="C85" t="str">
            <v>Finance</v>
          </cell>
          <cell r="D85">
            <v>61000</v>
          </cell>
          <cell r="E85">
            <v>44396</v>
          </cell>
        </row>
        <row r="86">
          <cell r="A86" t="str">
            <v>E085</v>
          </cell>
          <cell r="C86" t="str">
            <v>Marketing</v>
          </cell>
          <cell r="D86">
            <v>69000</v>
          </cell>
          <cell r="E86">
            <v>42741</v>
          </cell>
        </row>
        <row r="87">
          <cell r="A87" t="str">
            <v>E086</v>
          </cell>
          <cell r="C87" t="str">
            <v>Operations</v>
          </cell>
          <cell r="D87">
            <v>72000</v>
          </cell>
          <cell r="E87">
            <v>44845</v>
          </cell>
        </row>
        <row r="88">
          <cell r="A88" t="str">
            <v>E087</v>
          </cell>
          <cell r="C88" t="str">
            <v>Legal</v>
          </cell>
          <cell r="D88">
            <v>50000</v>
          </cell>
          <cell r="E88">
            <v>43579</v>
          </cell>
        </row>
        <row r="89">
          <cell r="A89" t="str">
            <v>E088</v>
          </cell>
          <cell r="C89" t="str">
            <v>R&amp;D</v>
          </cell>
          <cell r="D89">
            <v>66000</v>
          </cell>
          <cell r="E89">
            <v>44168</v>
          </cell>
        </row>
        <row r="90">
          <cell r="A90" t="str">
            <v>E089</v>
          </cell>
          <cell r="C90" t="str">
            <v>Support</v>
          </cell>
          <cell r="D90">
            <v>58000</v>
          </cell>
          <cell r="E90">
            <v>42687</v>
          </cell>
        </row>
        <row r="91">
          <cell r="A91" t="str">
            <v>E090</v>
          </cell>
          <cell r="C91" t="str">
            <v>Admin</v>
          </cell>
          <cell r="D91">
            <v>45000</v>
          </cell>
          <cell r="E91">
            <v>42036</v>
          </cell>
        </row>
        <row r="92">
          <cell r="A92" t="str">
            <v>E091</v>
          </cell>
          <cell r="C92" t="str">
            <v>Sales</v>
          </cell>
          <cell r="D92">
            <v>80000</v>
          </cell>
          <cell r="E92">
            <v>43175</v>
          </cell>
        </row>
        <row r="93">
          <cell r="A93" t="str">
            <v>E092</v>
          </cell>
          <cell r="C93" t="str">
            <v>HR</v>
          </cell>
          <cell r="D93">
            <v>54000</v>
          </cell>
          <cell r="E93">
            <v>42952</v>
          </cell>
        </row>
        <row r="94">
          <cell r="A94" t="str">
            <v>E093</v>
          </cell>
          <cell r="C94" t="str">
            <v>IT</v>
          </cell>
          <cell r="D94">
            <v>47000</v>
          </cell>
          <cell r="E94">
            <v>44467</v>
          </cell>
        </row>
        <row r="95">
          <cell r="A95" t="str">
            <v>E094</v>
          </cell>
          <cell r="C95" t="str">
            <v>Finance</v>
          </cell>
          <cell r="D95">
            <v>90000</v>
          </cell>
          <cell r="E95">
            <v>42502</v>
          </cell>
        </row>
        <row r="96">
          <cell r="A96" t="str">
            <v>E095</v>
          </cell>
          <cell r="C96" t="str">
            <v>Marketing</v>
          </cell>
          <cell r="D96">
            <v>62000</v>
          </cell>
          <cell r="E96">
            <v>43820</v>
          </cell>
        </row>
        <row r="97">
          <cell r="A97" t="str">
            <v>E096</v>
          </cell>
          <cell r="C97" t="str">
            <v>Operations</v>
          </cell>
          <cell r="D97">
            <v>73000</v>
          </cell>
          <cell r="E97">
            <v>43927</v>
          </cell>
        </row>
        <row r="98">
          <cell r="A98" t="str">
            <v>E097</v>
          </cell>
          <cell r="C98" t="str">
            <v>Legal</v>
          </cell>
          <cell r="D98">
            <v>56000</v>
          </cell>
          <cell r="E98">
            <v>42210</v>
          </cell>
        </row>
        <row r="99">
          <cell r="A99" t="str">
            <v>E098</v>
          </cell>
          <cell r="C99" t="str">
            <v>R&amp;D</v>
          </cell>
          <cell r="D99">
            <v>67000</v>
          </cell>
          <cell r="E99">
            <v>43373</v>
          </cell>
        </row>
        <row r="100">
          <cell r="A100" t="str">
            <v>E099</v>
          </cell>
          <cell r="C100" t="str">
            <v>Support</v>
          </cell>
          <cell r="D100">
            <v>71000</v>
          </cell>
          <cell r="E100">
            <v>44606</v>
          </cell>
        </row>
        <row r="101">
          <cell r="A101" t="str">
            <v>E100</v>
          </cell>
          <cell r="C101" t="str">
            <v>Admin</v>
          </cell>
          <cell r="D101">
            <v>64000</v>
          </cell>
          <cell r="E101">
            <v>42887</v>
          </cell>
        </row>
        <row r="102">
          <cell r="A102" t="str">
            <v>E101</v>
          </cell>
          <cell r="C102" t="str">
            <v>Sales</v>
          </cell>
          <cell r="D102">
            <v>52000</v>
          </cell>
          <cell r="E102">
            <v>43717</v>
          </cell>
        </row>
        <row r="103">
          <cell r="A103" t="str">
            <v>E102</v>
          </cell>
          <cell r="C103" t="str">
            <v>HR</v>
          </cell>
          <cell r="D103">
            <v>48000</v>
          </cell>
          <cell r="E103">
            <v>43848</v>
          </cell>
        </row>
        <row r="104">
          <cell r="A104" t="str">
            <v>E103</v>
          </cell>
          <cell r="C104" t="str">
            <v>IT</v>
          </cell>
          <cell r="D104">
            <v>75000</v>
          </cell>
          <cell r="E104">
            <v>43258</v>
          </cell>
        </row>
        <row r="105">
          <cell r="A105" t="str">
            <v>E104</v>
          </cell>
          <cell r="C105" t="str">
            <v>Finance</v>
          </cell>
          <cell r="D105">
            <v>61000</v>
          </cell>
          <cell r="E105">
            <v>44280</v>
          </cell>
        </row>
        <row r="106">
          <cell r="A106" t="str">
            <v>E105</v>
          </cell>
          <cell r="C106" t="str">
            <v>Marketing</v>
          </cell>
          <cell r="D106">
            <v>69000</v>
          </cell>
          <cell r="E106">
            <v>43010</v>
          </cell>
        </row>
        <row r="107">
          <cell r="A107" t="str">
            <v>E106</v>
          </cell>
          <cell r="C107" t="str">
            <v>Operations</v>
          </cell>
          <cell r="D107">
            <v>72000</v>
          </cell>
          <cell r="E107">
            <v>44758</v>
          </cell>
        </row>
        <row r="108">
          <cell r="A108" t="str">
            <v>E107</v>
          </cell>
          <cell r="C108" t="str">
            <v>Legal</v>
          </cell>
          <cell r="D108">
            <v>50000</v>
          </cell>
          <cell r="E108">
            <v>43523</v>
          </cell>
        </row>
        <row r="109">
          <cell r="A109" t="str">
            <v>E108</v>
          </cell>
          <cell r="C109" t="str">
            <v>R&amp;D</v>
          </cell>
          <cell r="D109">
            <v>66000</v>
          </cell>
          <cell r="E109">
            <v>43955</v>
          </cell>
        </row>
        <row r="110">
          <cell r="A110" t="str">
            <v>E109</v>
          </cell>
          <cell r="C110" t="str">
            <v>Support</v>
          </cell>
          <cell r="D110">
            <v>58000</v>
          </cell>
          <cell r="E110">
            <v>42380</v>
          </cell>
        </row>
        <row r="111">
          <cell r="A111" t="str">
            <v>E110</v>
          </cell>
          <cell r="C111" t="str">
            <v>Admin</v>
          </cell>
          <cell r="D111">
            <v>45000</v>
          </cell>
          <cell r="E111">
            <v>42328</v>
          </cell>
        </row>
        <row r="112">
          <cell r="A112" t="str">
            <v>E111</v>
          </cell>
          <cell r="C112" t="str">
            <v>Sales</v>
          </cell>
          <cell r="D112">
            <v>80000</v>
          </cell>
          <cell r="E112">
            <v>43433</v>
          </cell>
        </row>
        <row r="113">
          <cell r="A113" t="str">
            <v>E112</v>
          </cell>
          <cell r="C113" t="str">
            <v>HR</v>
          </cell>
          <cell r="D113">
            <v>54000</v>
          </cell>
          <cell r="E113">
            <v>42780</v>
          </cell>
        </row>
        <row r="114">
          <cell r="A114" t="str">
            <v>E113</v>
          </cell>
          <cell r="C114" t="str">
            <v>IT</v>
          </cell>
          <cell r="D114">
            <v>47000</v>
          </cell>
          <cell r="E114">
            <v>44411</v>
          </cell>
        </row>
        <row r="115">
          <cell r="A115" t="str">
            <v>E114</v>
          </cell>
          <cell r="C115" t="str">
            <v>Finance</v>
          </cell>
          <cell r="D115">
            <v>90000</v>
          </cell>
          <cell r="E115">
            <v>42451</v>
          </cell>
        </row>
        <row r="116">
          <cell r="A116" t="str">
            <v>E115</v>
          </cell>
          <cell r="C116" t="str">
            <v>Marketing</v>
          </cell>
          <cell r="D116">
            <v>62000</v>
          </cell>
          <cell r="E116">
            <v>43496</v>
          </cell>
        </row>
        <row r="117">
          <cell r="A117" t="str">
            <v>E116</v>
          </cell>
          <cell r="C117" t="str">
            <v>Operations</v>
          </cell>
          <cell r="D117">
            <v>73000</v>
          </cell>
          <cell r="E117">
            <v>44086</v>
          </cell>
        </row>
        <row r="118">
          <cell r="A118" t="str">
            <v>E117</v>
          </cell>
          <cell r="C118" t="str">
            <v>Legal</v>
          </cell>
          <cell r="D118">
            <v>56000</v>
          </cell>
          <cell r="E118">
            <v>42125</v>
          </cell>
        </row>
        <row r="119">
          <cell r="A119" t="str">
            <v>E118</v>
          </cell>
          <cell r="C119" t="str">
            <v>R&amp;D</v>
          </cell>
          <cell r="D119">
            <v>67000</v>
          </cell>
          <cell r="E119">
            <v>43393</v>
          </cell>
        </row>
        <row r="120">
          <cell r="A120" t="str">
            <v>E119</v>
          </cell>
          <cell r="C120" t="str">
            <v>Support</v>
          </cell>
          <cell r="D120">
            <v>71000</v>
          </cell>
          <cell r="E120">
            <v>44872</v>
          </cell>
        </row>
        <row r="121">
          <cell r="A121" t="str">
            <v>E120</v>
          </cell>
          <cell r="C121" t="str">
            <v>Admin</v>
          </cell>
          <cell r="D121">
            <v>64000</v>
          </cell>
          <cell r="E121">
            <v>42851</v>
          </cell>
        </row>
        <row r="122">
          <cell r="A122" t="str">
            <v>E121</v>
          </cell>
          <cell r="C122" t="str">
            <v>Sales</v>
          </cell>
          <cell r="D122">
            <v>52000</v>
          </cell>
          <cell r="E122">
            <v>43784</v>
          </cell>
        </row>
        <row r="123">
          <cell r="A123" t="str">
            <v>E122</v>
          </cell>
          <cell r="C123" t="str">
            <v>HR</v>
          </cell>
          <cell r="D123">
            <v>48000</v>
          </cell>
          <cell r="E123">
            <v>44072</v>
          </cell>
        </row>
        <row r="124">
          <cell r="A124" t="str">
            <v>E123</v>
          </cell>
          <cell r="C124" t="str">
            <v>IT</v>
          </cell>
          <cell r="D124">
            <v>75000</v>
          </cell>
          <cell r="E124">
            <v>43164</v>
          </cell>
        </row>
        <row r="125">
          <cell r="A125" t="str">
            <v>E124</v>
          </cell>
          <cell r="C125" t="str">
            <v>Finance</v>
          </cell>
          <cell r="D125">
            <v>61000</v>
          </cell>
          <cell r="E125">
            <v>44337</v>
          </cell>
        </row>
        <row r="126">
          <cell r="A126" t="str">
            <v>E125</v>
          </cell>
          <cell r="C126" t="str">
            <v>Marketing</v>
          </cell>
          <cell r="D126">
            <v>69000</v>
          </cell>
          <cell r="E126">
            <v>42986</v>
          </cell>
        </row>
        <row r="127">
          <cell r="A127" t="str">
            <v>E126</v>
          </cell>
          <cell r="C127" t="str">
            <v>Operations</v>
          </cell>
          <cell r="D127">
            <v>72000</v>
          </cell>
          <cell r="E127">
            <v>44594</v>
          </cell>
        </row>
        <row r="128">
          <cell r="A128" t="str">
            <v>E127</v>
          </cell>
          <cell r="C128" t="str">
            <v>Legal</v>
          </cell>
          <cell r="D128">
            <v>50000</v>
          </cell>
          <cell r="E128">
            <v>43633</v>
          </cell>
        </row>
        <row r="129">
          <cell r="A129" t="str">
            <v>E128</v>
          </cell>
          <cell r="C129" t="str">
            <v>R&amp;D</v>
          </cell>
          <cell r="D129">
            <v>66000</v>
          </cell>
          <cell r="E129">
            <v>44127</v>
          </cell>
        </row>
        <row r="130">
          <cell r="A130" t="str">
            <v>E129</v>
          </cell>
          <cell r="C130" t="str">
            <v>Support</v>
          </cell>
          <cell r="D130">
            <v>58000</v>
          </cell>
          <cell r="E130">
            <v>42490</v>
          </cell>
        </row>
        <row r="131">
          <cell r="A131" t="str">
            <v>E130</v>
          </cell>
          <cell r="C131" t="str">
            <v>Admin</v>
          </cell>
          <cell r="D131">
            <v>45000</v>
          </cell>
          <cell r="E131">
            <v>42192</v>
          </cell>
        </row>
        <row r="132">
          <cell r="A132" t="str">
            <v>E131</v>
          </cell>
          <cell r="C132" t="str">
            <v>Sales</v>
          </cell>
          <cell r="D132">
            <v>80000</v>
          </cell>
          <cell r="E132">
            <v>43452</v>
          </cell>
        </row>
        <row r="133">
          <cell r="A133" t="str">
            <v>E132</v>
          </cell>
          <cell r="C133" t="str">
            <v>HR</v>
          </cell>
          <cell r="D133">
            <v>54000</v>
          </cell>
          <cell r="E133">
            <v>43040</v>
          </cell>
        </row>
        <row r="134">
          <cell r="A134" t="str">
            <v>E133</v>
          </cell>
          <cell r="C134" t="str">
            <v>IT</v>
          </cell>
          <cell r="D134">
            <v>47000</v>
          </cell>
          <cell r="E134">
            <v>44209</v>
          </cell>
        </row>
        <row r="135">
          <cell r="A135" t="str">
            <v>E134</v>
          </cell>
          <cell r="C135" t="str">
            <v>Finance</v>
          </cell>
          <cell r="D135">
            <v>90000</v>
          </cell>
          <cell r="E135">
            <v>42606</v>
          </cell>
        </row>
        <row r="136">
          <cell r="A136" t="str">
            <v>E135</v>
          </cell>
          <cell r="C136" t="str">
            <v>Marketing</v>
          </cell>
          <cell r="D136">
            <v>62000</v>
          </cell>
          <cell r="E136">
            <v>43501</v>
          </cell>
        </row>
        <row r="137">
          <cell r="A137" t="str">
            <v>E136</v>
          </cell>
          <cell r="C137" t="str">
            <v>Operations</v>
          </cell>
          <cell r="D137">
            <v>73000</v>
          </cell>
          <cell r="E137">
            <v>44012</v>
          </cell>
        </row>
        <row r="138">
          <cell r="A138" t="str">
            <v>E137</v>
          </cell>
          <cell r="C138" t="str">
            <v>Legal</v>
          </cell>
          <cell r="D138">
            <v>56000</v>
          </cell>
          <cell r="E138">
            <v>42266</v>
          </cell>
        </row>
        <row r="139">
          <cell r="A139" t="str">
            <v>E138</v>
          </cell>
          <cell r="C139" t="str">
            <v>R&amp;D</v>
          </cell>
          <cell r="D139">
            <v>67000</v>
          </cell>
          <cell r="E139">
            <v>43198</v>
          </cell>
        </row>
        <row r="140">
          <cell r="A140" t="str">
            <v>E139</v>
          </cell>
          <cell r="C140" t="str">
            <v>Support</v>
          </cell>
          <cell r="D140">
            <v>71000</v>
          </cell>
          <cell r="E140">
            <v>44805</v>
          </cell>
        </row>
        <row r="141">
          <cell r="A141" t="str">
            <v>E140</v>
          </cell>
          <cell r="C141" t="str">
            <v>Admin</v>
          </cell>
          <cell r="D141">
            <v>64000</v>
          </cell>
          <cell r="E141">
            <v>43079</v>
          </cell>
        </row>
        <row r="142">
          <cell r="A142" t="str">
            <v>E141</v>
          </cell>
          <cell r="C142" t="str">
            <v>Sales</v>
          </cell>
          <cell r="D142">
            <v>52000</v>
          </cell>
          <cell r="E142">
            <v>43557</v>
          </cell>
        </row>
        <row r="143">
          <cell r="A143" t="str">
            <v>E142</v>
          </cell>
          <cell r="C143" t="str">
            <v>HR</v>
          </cell>
          <cell r="D143">
            <v>48000</v>
          </cell>
          <cell r="E143">
            <v>43872</v>
          </cell>
        </row>
        <row r="144">
          <cell r="A144" t="str">
            <v>E143</v>
          </cell>
          <cell r="C144" t="str">
            <v>IT</v>
          </cell>
          <cell r="D144">
            <v>75000</v>
          </cell>
          <cell r="E144">
            <v>43307</v>
          </cell>
        </row>
        <row r="145">
          <cell r="A145" t="str">
            <v>E144</v>
          </cell>
          <cell r="C145" t="str">
            <v>Finance</v>
          </cell>
          <cell r="D145">
            <v>61000</v>
          </cell>
          <cell r="E145">
            <v>44484</v>
          </cell>
        </row>
        <row r="146">
          <cell r="A146" t="str">
            <v>E145</v>
          </cell>
          <cell r="C146" t="str">
            <v>Marketing</v>
          </cell>
          <cell r="D146">
            <v>69000</v>
          </cell>
          <cell r="E146">
            <v>42879</v>
          </cell>
        </row>
        <row r="147">
          <cell r="A147" t="str">
            <v>E146</v>
          </cell>
          <cell r="C147" t="str">
            <v>Operations</v>
          </cell>
          <cell r="D147">
            <v>72000</v>
          </cell>
          <cell r="E147">
            <v>44623</v>
          </cell>
        </row>
        <row r="148">
          <cell r="A148" t="str">
            <v>E147</v>
          </cell>
          <cell r="C148" t="str">
            <v>Legal</v>
          </cell>
          <cell r="D148">
            <v>50000</v>
          </cell>
          <cell r="E148">
            <v>43485</v>
          </cell>
        </row>
        <row r="149">
          <cell r="A149" t="str">
            <v>E148</v>
          </cell>
          <cell r="C149" t="str">
            <v>R&amp;D</v>
          </cell>
          <cell r="D149">
            <v>66000</v>
          </cell>
          <cell r="E149">
            <v>44021</v>
          </cell>
        </row>
        <row r="150">
          <cell r="A150" t="str">
            <v>E149</v>
          </cell>
          <cell r="C150" t="str">
            <v>Support</v>
          </cell>
          <cell r="D150">
            <v>58000</v>
          </cell>
          <cell r="E150">
            <v>42671</v>
          </cell>
        </row>
        <row r="151">
          <cell r="A151" t="str">
            <v>E150</v>
          </cell>
          <cell r="C151" t="str">
            <v>Admin</v>
          </cell>
          <cell r="D151">
            <v>45000</v>
          </cell>
          <cell r="E151">
            <v>42075</v>
          </cell>
        </row>
        <row r="152">
          <cell r="A152" t="str">
            <v>E151</v>
          </cell>
          <cell r="C152" t="str">
            <v>Sales</v>
          </cell>
          <cell r="D152">
            <v>80000</v>
          </cell>
          <cell r="E152">
            <v>43221</v>
          </cell>
        </row>
        <row r="153">
          <cell r="A153" t="str">
            <v>E152</v>
          </cell>
          <cell r="C153" t="str">
            <v>HR</v>
          </cell>
          <cell r="D153">
            <v>54000</v>
          </cell>
          <cell r="E153">
            <v>42902</v>
          </cell>
        </row>
        <row r="154">
          <cell r="A154" t="str">
            <v>E153</v>
          </cell>
          <cell r="C154" t="str">
            <v>IT</v>
          </cell>
          <cell r="D154">
            <v>47000</v>
          </cell>
          <cell r="E154">
            <v>44231</v>
          </cell>
        </row>
        <row r="155">
          <cell r="A155" t="str">
            <v>E154</v>
          </cell>
          <cell r="C155" t="str">
            <v>Finance</v>
          </cell>
          <cell r="D155">
            <v>90000</v>
          </cell>
          <cell r="E155">
            <v>42697</v>
          </cell>
        </row>
        <row r="156">
          <cell r="A156" t="str">
            <v>E155</v>
          </cell>
          <cell r="C156" t="str">
            <v>Marketing</v>
          </cell>
          <cell r="D156">
            <v>62000</v>
          </cell>
          <cell r="E156">
            <v>43689</v>
          </cell>
        </row>
        <row r="157">
          <cell r="A157" t="str">
            <v>E156</v>
          </cell>
          <cell r="C157" t="str">
            <v>Operations</v>
          </cell>
          <cell r="D157">
            <v>73000</v>
          </cell>
          <cell r="E157">
            <v>44194</v>
          </cell>
        </row>
        <row r="158">
          <cell r="A158" t="str">
            <v>E157</v>
          </cell>
          <cell r="C158" t="str">
            <v>Legal</v>
          </cell>
          <cell r="D158">
            <v>56000</v>
          </cell>
          <cell r="E158">
            <v>42011</v>
          </cell>
        </row>
        <row r="159">
          <cell r="A159" t="str">
            <v>E158</v>
          </cell>
          <cell r="C159" t="str">
            <v>R&amp;D</v>
          </cell>
          <cell r="D159">
            <v>67000</v>
          </cell>
          <cell r="E159">
            <v>43269</v>
          </cell>
        </row>
        <row r="160">
          <cell r="A160" t="str">
            <v>E159</v>
          </cell>
          <cell r="C160" t="str">
            <v>Support</v>
          </cell>
          <cell r="D160">
            <v>71000</v>
          </cell>
          <cell r="E160">
            <v>44706</v>
          </cell>
        </row>
        <row r="161">
          <cell r="A161" t="str">
            <v>E160</v>
          </cell>
          <cell r="C161" t="str">
            <v>Admin</v>
          </cell>
          <cell r="D161">
            <v>64000</v>
          </cell>
          <cell r="E161">
            <v>42768</v>
          </cell>
        </row>
        <row r="162">
          <cell r="A162" t="str">
            <v>E161</v>
          </cell>
          <cell r="C162" t="str">
            <v>Sales</v>
          </cell>
          <cell r="D162">
            <v>52000</v>
          </cell>
          <cell r="E162">
            <v>43758</v>
          </cell>
        </row>
        <row r="163">
          <cell r="A163" t="str">
            <v>E162</v>
          </cell>
          <cell r="C163" t="str">
            <v>HR</v>
          </cell>
          <cell r="D163">
            <v>48000</v>
          </cell>
          <cell r="E163">
            <v>43922</v>
          </cell>
        </row>
        <row r="164">
          <cell r="A164" t="str">
            <v>E163</v>
          </cell>
          <cell r="C164" t="str">
            <v>IT</v>
          </cell>
          <cell r="D164">
            <v>75000</v>
          </cell>
          <cell r="E164">
            <v>43356</v>
          </cell>
        </row>
        <row r="165">
          <cell r="A165" t="str">
            <v>E164</v>
          </cell>
          <cell r="C165" t="str">
            <v>Finance</v>
          </cell>
          <cell r="D165">
            <v>61000</v>
          </cell>
          <cell r="E165">
            <v>44353</v>
          </cell>
        </row>
        <row r="166">
          <cell r="A166" t="str">
            <v>E165</v>
          </cell>
          <cell r="C166" t="str">
            <v>Marketing</v>
          </cell>
          <cell r="D166">
            <v>69000</v>
          </cell>
          <cell r="E166">
            <v>43066</v>
          </cell>
        </row>
        <row r="167">
          <cell r="A167" t="str">
            <v>E166</v>
          </cell>
          <cell r="C167" t="str">
            <v>Operations</v>
          </cell>
          <cell r="D167">
            <v>72000</v>
          </cell>
          <cell r="E167">
            <v>44576</v>
          </cell>
        </row>
        <row r="168">
          <cell r="A168" t="str">
            <v>E167</v>
          </cell>
          <cell r="C168" t="str">
            <v>Legal</v>
          </cell>
          <cell r="D168">
            <v>50000</v>
          </cell>
          <cell r="E168">
            <v>43532</v>
          </cell>
        </row>
        <row r="169">
          <cell r="A169" t="str">
            <v>E168</v>
          </cell>
          <cell r="C169" t="str">
            <v>R&amp;D</v>
          </cell>
          <cell r="D169">
            <v>66000</v>
          </cell>
          <cell r="E169">
            <v>44063</v>
          </cell>
        </row>
        <row r="170">
          <cell r="A170" t="str">
            <v>E169</v>
          </cell>
          <cell r="C170" t="str">
            <v>Support</v>
          </cell>
          <cell r="D170">
            <v>58000</v>
          </cell>
          <cell r="E170">
            <v>42409</v>
          </cell>
        </row>
        <row r="171">
          <cell r="A171" t="str">
            <v>E170</v>
          </cell>
          <cell r="C171" t="str">
            <v>Admin</v>
          </cell>
          <cell r="D171">
            <v>45000</v>
          </cell>
          <cell r="E171">
            <v>42277</v>
          </cell>
        </row>
        <row r="172">
          <cell r="A172" t="str">
            <v>E171</v>
          </cell>
          <cell r="C172" t="str">
            <v>Sales</v>
          </cell>
          <cell r="D172">
            <v>80000</v>
          </cell>
          <cell r="E172">
            <v>43119</v>
          </cell>
        </row>
        <row r="173">
          <cell r="A173" t="str">
            <v>E172</v>
          </cell>
          <cell r="C173" t="str">
            <v>HR</v>
          </cell>
          <cell r="D173">
            <v>54000</v>
          </cell>
          <cell r="E173">
            <v>42822</v>
          </cell>
        </row>
        <row r="174">
          <cell r="A174" t="str">
            <v>E173</v>
          </cell>
          <cell r="C174" t="str">
            <v>IT</v>
          </cell>
          <cell r="D174">
            <v>47000</v>
          </cell>
          <cell r="E174">
            <v>44325</v>
          </cell>
        </row>
        <row r="175">
          <cell r="A175" t="str">
            <v>E174</v>
          </cell>
          <cell r="C175" t="str">
            <v>Finance</v>
          </cell>
          <cell r="D175">
            <v>90000</v>
          </cell>
          <cell r="E175">
            <v>42535</v>
          </cell>
        </row>
        <row r="176">
          <cell r="A176" t="str">
            <v>E175</v>
          </cell>
          <cell r="C176" t="str">
            <v>Marketing</v>
          </cell>
          <cell r="D176">
            <v>62000</v>
          </cell>
          <cell r="E176">
            <v>43669</v>
          </cell>
        </row>
        <row r="177">
          <cell r="A177" t="str">
            <v>E176</v>
          </cell>
          <cell r="C177" t="str">
            <v>Operations</v>
          </cell>
          <cell r="D177">
            <v>73000</v>
          </cell>
          <cell r="E177">
            <v>44139</v>
          </cell>
        </row>
        <row r="178">
          <cell r="A178" t="str">
            <v>E177</v>
          </cell>
          <cell r="C178" t="str">
            <v>Legal</v>
          </cell>
          <cell r="D178">
            <v>56000</v>
          </cell>
          <cell r="E178">
            <v>42217</v>
          </cell>
        </row>
        <row r="179">
          <cell r="A179" t="str">
            <v>E178</v>
          </cell>
          <cell r="C179" t="str">
            <v>R&amp;D</v>
          </cell>
          <cell r="D179">
            <v>67000</v>
          </cell>
          <cell r="E179">
            <v>43169</v>
          </cell>
        </row>
        <row r="180">
          <cell r="A180" t="str">
            <v>E179</v>
          </cell>
          <cell r="C180" t="str">
            <v>Support</v>
          </cell>
          <cell r="D180">
            <v>71000</v>
          </cell>
          <cell r="E180">
            <v>44740</v>
          </cell>
        </row>
        <row r="181">
          <cell r="A181" t="str">
            <v>E180</v>
          </cell>
          <cell r="C181" t="str">
            <v>Admin</v>
          </cell>
          <cell r="D181">
            <v>64000</v>
          </cell>
          <cell r="E181">
            <v>42737</v>
          </cell>
        </row>
        <row r="182">
          <cell r="A182" t="str">
            <v>E181</v>
          </cell>
          <cell r="C182" t="str">
            <v>Sales</v>
          </cell>
          <cell r="D182">
            <v>52000</v>
          </cell>
          <cell r="E182">
            <v>43622</v>
          </cell>
        </row>
        <row r="183">
          <cell r="A183" t="str">
            <v>E182</v>
          </cell>
          <cell r="C183" t="str">
            <v>HR</v>
          </cell>
          <cell r="D183">
            <v>48000</v>
          </cell>
          <cell r="E183">
            <v>44091</v>
          </cell>
        </row>
        <row r="184">
          <cell r="A184" t="str">
            <v>E183</v>
          </cell>
          <cell r="C184" t="str">
            <v>IT</v>
          </cell>
          <cell r="D184">
            <v>75000</v>
          </cell>
          <cell r="E184">
            <v>43156</v>
          </cell>
        </row>
        <row r="185">
          <cell r="A185" t="str">
            <v>E184</v>
          </cell>
          <cell r="C185" t="str">
            <v>Finance</v>
          </cell>
          <cell r="D185">
            <v>61000</v>
          </cell>
          <cell r="E185">
            <v>44439</v>
          </cell>
        </row>
        <row r="186">
          <cell r="A186" t="str">
            <v>E185</v>
          </cell>
          <cell r="C186" t="str">
            <v>Marketing</v>
          </cell>
          <cell r="D186">
            <v>69000</v>
          </cell>
          <cell r="E186">
            <v>42837</v>
          </cell>
        </row>
        <row r="187">
          <cell r="A187" t="str">
            <v>E186</v>
          </cell>
          <cell r="C187" t="str">
            <v>Operations</v>
          </cell>
          <cell r="D187">
            <v>72000</v>
          </cell>
          <cell r="E187">
            <v>44656</v>
          </cell>
        </row>
        <row r="188">
          <cell r="A188" t="str">
            <v>E187</v>
          </cell>
          <cell r="C188" t="str">
            <v>Legal</v>
          </cell>
          <cell r="D188">
            <v>50000</v>
          </cell>
          <cell r="E188">
            <v>43827</v>
          </cell>
        </row>
        <row r="189">
          <cell r="A189" t="str">
            <v>E188</v>
          </cell>
          <cell r="C189" t="str">
            <v>R&amp;D</v>
          </cell>
          <cell r="D189">
            <v>66000</v>
          </cell>
          <cell r="E189">
            <v>44004</v>
          </cell>
        </row>
        <row r="190">
          <cell r="A190" t="str">
            <v>E189</v>
          </cell>
          <cell r="C190" t="str">
            <v>Support</v>
          </cell>
          <cell r="D190">
            <v>58000</v>
          </cell>
          <cell r="E190">
            <v>42566</v>
          </cell>
        </row>
        <row r="191">
          <cell r="A191" t="str">
            <v>E190</v>
          </cell>
          <cell r="C191" t="str">
            <v>Admin</v>
          </cell>
          <cell r="D191">
            <v>45000</v>
          </cell>
          <cell r="E191">
            <v>42030</v>
          </cell>
        </row>
        <row r="192">
          <cell r="A192" t="str">
            <v>E191</v>
          </cell>
          <cell r="C192" t="str">
            <v>Sales</v>
          </cell>
          <cell r="D192">
            <v>80000</v>
          </cell>
          <cell r="E192">
            <v>43382</v>
          </cell>
        </row>
        <row r="193">
          <cell r="A193" t="str">
            <v>E192</v>
          </cell>
          <cell r="C193" t="str">
            <v>HR</v>
          </cell>
          <cell r="D193">
            <v>54000</v>
          </cell>
          <cell r="E193">
            <v>42873</v>
          </cell>
        </row>
        <row r="194">
          <cell r="A194" t="str">
            <v>E193</v>
          </cell>
          <cell r="C194" t="str">
            <v>IT</v>
          </cell>
          <cell r="D194">
            <v>47000</v>
          </cell>
          <cell r="E194">
            <v>44378</v>
          </cell>
        </row>
        <row r="195">
          <cell r="A195" t="str">
            <v>E194</v>
          </cell>
          <cell r="C195" t="str">
            <v>Finance</v>
          </cell>
          <cell r="D195">
            <v>90000</v>
          </cell>
          <cell r="E195">
            <v>42715</v>
          </cell>
        </row>
        <row r="196">
          <cell r="A196" t="str">
            <v>E195</v>
          </cell>
          <cell r="C196" t="str">
            <v>Marketing</v>
          </cell>
          <cell r="D196">
            <v>62000</v>
          </cell>
          <cell r="E196">
            <v>43553</v>
          </cell>
        </row>
        <row r="197">
          <cell r="A197" t="str">
            <v>E196</v>
          </cell>
          <cell r="C197" t="str">
            <v>Operations</v>
          </cell>
          <cell r="D197">
            <v>73000</v>
          </cell>
          <cell r="E197">
            <v>43971</v>
          </cell>
        </row>
        <row r="198">
          <cell r="A198" t="str">
            <v>E197</v>
          </cell>
          <cell r="C198" t="str">
            <v>Legal</v>
          </cell>
          <cell r="D198">
            <v>56000</v>
          </cell>
          <cell r="E198">
            <v>42283</v>
          </cell>
        </row>
        <row r="199">
          <cell r="A199" t="str">
            <v>E198</v>
          </cell>
          <cell r="C199" t="str">
            <v>R&amp;D</v>
          </cell>
          <cell r="D199">
            <v>67000</v>
          </cell>
          <cell r="E199">
            <v>43327</v>
          </cell>
        </row>
        <row r="200">
          <cell r="A200" t="str">
            <v>E199</v>
          </cell>
          <cell r="C200" t="str">
            <v>Support</v>
          </cell>
          <cell r="D200">
            <v>71000</v>
          </cell>
          <cell r="E200">
            <v>44600</v>
          </cell>
        </row>
        <row r="201">
          <cell r="A201" t="str">
            <v>E200</v>
          </cell>
          <cell r="C201" t="str">
            <v>Admin</v>
          </cell>
          <cell r="D201">
            <v>64000</v>
          </cell>
          <cell r="E201">
            <v>42950</v>
          </cell>
        </row>
      </sheetData>
      <sheetData sheetId="3"/>
      <sheetData sheetId="4"/>
      <sheetData sheetId="5">
        <row r="1">
          <cell r="A1" t="str">
            <v>Address</v>
          </cell>
          <cell r="D1" t="str">
            <v>EmpID</v>
          </cell>
        </row>
        <row r="2">
          <cell r="A2" t="str">
            <v>12 MG Road</v>
          </cell>
          <cell r="D2" t="str">
            <v>E001</v>
          </cell>
        </row>
        <row r="3">
          <cell r="A3" t="str">
            <v>45 Park Street</v>
          </cell>
          <cell r="D3" t="str">
            <v>E002</v>
          </cell>
        </row>
        <row r="4">
          <cell r="A4" t="str">
            <v>7 Brigade Road</v>
          </cell>
          <cell r="D4" t="str">
            <v>E003</v>
          </cell>
        </row>
        <row r="5">
          <cell r="A5" t="str">
            <v>88 Anna Salai</v>
          </cell>
          <cell r="D5" t="str">
            <v>E004</v>
          </cell>
        </row>
        <row r="6">
          <cell r="A6" t="str">
            <v>101 Marine Drive</v>
          </cell>
          <cell r="D6" t="str">
            <v>E005</v>
          </cell>
        </row>
        <row r="7">
          <cell r="A7" t="str">
            <v>22 MG Road</v>
          </cell>
          <cell r="D7" t="str">
            <v>E006</v>
          </cell>
        </row>
        <row r="8">
          <cell r="A8" t="str">
            <v>5 Banjara Hills</v>
          </cell>
          <cell r="D8" t="str">
            <v>E007</v>
          </cell>
        </row>
        <row r="9">
          <cell r="A9" t="str">
            <v>3 SG Highway</v>
          </cell>
          <cell r="D9" t="str">
            <v>E008</v>
          </cell>
        </row>
        <row r="10">
          <cell r="A10" t="str">
            <v>14 Hazratganj</v>
          </cell>
          <cell r="D10" t="str">
            <v>E009</v>
          </cell>
        </row>
        <row r="11">
          <cell r="A11" t="str">
            <v>9 MI Road</v>
          </cell>
          <cell r="D11" t="str">
            <v>E010</v>
          </cell>
        </row>
        <row r="12">
          <cell r="A12" t="str">
            <v>2 Sector 17</v>
          </cell>
          <cell r="D12" t="str">
            <v>E011</v>
          </cell>
        </row>
        <row r="13">
          <cell r="A13" t="str">
            <v>18 Udyog Vihar</v>
          </cell>
          <cell r="D13" t="str">
            <v>E012</v>
          </cell>
        </row>
        <row r="14">
          <cell r="A14" t="str">
            <v>7 Sector 18</v>
          </cell>
          <cell r="D14" t="str">
            <v>E013</v>
          </cell>
        </row>
        <row r="15">
          <cell r="A15" t="str">
            <v>33 Raj Nagar</v>
          </cell>
          <cell r="D15" t="str">
            <v>E014</v>
          </cell>
        </row>
        <row r="16">
          <cell r="A16" t="str">
            <v>56 Sector 15</v>
          </cell>
          <cell r="D16" t="str">
            <v>E015</v>
          </cell>
        </row>
        <row r="17">
          <cell r="A17" t="str">
            <v>11 Civil Lines</v>
          </cell>
          <cell r="D17" t="str">
            <v>E016</v>
          </cell>
        </row>
        <row r="18">
          <cell r="A18" t="str">
            <v>4 Ring Road</v>
          </cell>
          <cell r="D18" t="str">
            <v>E017</v>
          </cell>
        </row>
        <row r="19">
          <cell r="A19" t="str">
            <v>27 Alkapuri</v>
          </cell>
          <cell r="D19" t="str">
            <v>E018</v>
          </cell>
        </row>
        <row r="20">
          <cell r="A20" t="str">
            <v>19 Arera Hills</v>
          </cell>
          <cell r="D20" t="str">
            <v>E019</v>
          </cell>
        </row>
        <row r="21">
          <cell r="A21" t="str">
            <v>8 MG Road</v>
          </cell>
          <cell r="D21" t="str">
            <v>E020</v>
          </cell>
        </row>
        <row r="22">
          <cell r="A22" t="str">
            <v>21 Bailey Road</v>
          </cell>
          <cell r="D22" t="str">
            <v>E021</v>
          </cell>
        </row>
        <row r="23">
          <cell r="A23" t="str">
            <v>12 Doranda Road</v>
          </cell>
          <cell r="D23" t="str">
            <v>E022</v>
          </cell>
        </row>
        <row r="24">
          <cell r="A24" t="str">
            <v>6 Janpath</v>
          </cell>
          <cell r="D24" t="str">
            <v>E023</v>
          </cell>
        </row>
        <row r="25">
          <cell r="A25" t="str">
            <v>44 Avinashi Road</v>
          </cell>
          <cell r="D25" t="str">
            <v>E024</v>
          </cell>
        </row>
        <row r="26">
          <cell r="A26" t="str">
            <v>3 MG Road</v>
          </cell>
          <cell r="D26" t="str">
            <v>E025</v>
          </cell>
        </row>
        <row r="27">
          <cell r="A27" t="str">
            <v>55 Vazhuthacaud</v>
          </cell>
          <cell r="D27" t="str">
            <v>E026</v>
          </cell>
        </row>
        <row r="28">
          <cell r="A28" t="str">
            <v>9 Nazarbad</v>
          </cell>
          <cell r="D28" t="str">
            <v>E027</v>
          </cell>
        </row>
        <row r="29">
          <cell r="A29" t="str">
            <v>2 Sitabuldi</v>
          </cell>
          <cell r="D29" t="str">
            <v>E028</v>
          </cell>
        </row>
        <row r="30">
          <cell r="A30" t="str">
            <v>18 College Road</v>
          </cell>
          <cell r="D30" t="str">
            <v>E029</v>
          </cell>
        </row>
        <row r="31">
          <cell r="A31" t="str">
            <v>7 Sardarpura</v>
          </cell>
          <cell r="D31" t="str">
            <v>E030</v>
          </cell>
        </row>
        <row r="32">
          <cell r="A32" t="str">
            <v>14 Dewali</v>
          </cell>
          <cell r="D32" t="str">
            <v>E031</v>
          </cell>
        </row>
        <row r="33">
          <cell r="A33" t="str">
            <v>28 Sanjay Place</v>
          </cell>
          <cell r="D33" t="str">
            <v>E032</v>
          </cell>
        </row>
        <row r="34">
          <cell r="A34" t="str">
            <v>10 Lanka Road</v>
          </cell>
          <cell r="D34" t="str">
            <v>E033</v>
          </cell>
        </row>
        <row r="35">
          <cell r="A35" t="str">
            <v>5 Shastri Nagar</v>
          </cell>
          <cell r="D35" t="str">
            <v>E034</v>
          </cell>
        </row>
        <row r="36">
          <cell r="A36" t="str">
            <v>3 Ferozepur Road</v>
          </cell>
          <cell r="D36" t="str">
            <v>E035</v>
          </cell>
        </row>
        <row r="37">
          <cell r="A37" t="str">
            <v>12 Lawrence Road</v>
          </cell>
          <cell r="D37" t="str">
            <v>E036</v>
          </cell>
        </row>
        <row r="38">
          <cell r="A38" t="str">
            <v>9 Model Town</v>
          </cell>
          <cell r="D38" t="str">
            <v>E037</v>
          </cell>
        </row>
        <row r="39">
          <cell r="A39" t="str">
            <v>21 Rajpur Road</v>
          </cell>
          <cell r="D39" t="str">
            <v>E038</v>
          </cell>
        </row>
        <row r="40">
          <cell r="A40" t="str">
            <v>6 The Mall</v>
          </cell>
          <cell r="D40" t="str">
            <v>E039</v>
          </cell>
        </row>
        <row r="41">
          <cell r="A41" t="str">
            <v>11 Lal Chowk</v>
          </cell>
          <cell r="D41" t="str">
            <v>E040</v>
          </cell>
        </row>
        <row r="42">
          <cell r="A42" t="str">
            <v>8 GS Road</v>
          </cell>
          <cell r="D42" t="str">
            <v>E041</v>
          </cell>
        </row>
        <row r="43">
          <cell r="A43" t="str">
            <v>4 Thangal Bazar</v>
          </cell>
          <cell r="D43" t="str">
            <v>E042</v>
          </cell>
        </row>
        <row r="44">
          <cell r="A44" t="str">
            <v>2 VIP Road</v>
          </cell>
          <cell r="D44" t="str">
            <v>E043</v>
          </cell>
        </row>
        <row r="45">
          <cell r="A45" t="str">
            <v>7 Kohima Road</v>
          </cell>
          <cell r="D45" t="str">
            <v>E044</v>
          </cell>
        </row>
        <row r="46">
          <cell r="A46" t="str">
            <v>15 Zarkawt</v>
          </cell>
          <cell r="D46" t="str">
            <v>E045</v>
          </cell>
        </row>
        <row r="47">
          <cell r="A47" t="str">
            <v>9 Aberdeen Bazaar</v>
          </cell>
          <cell r="D47" t="str">
            <v>E046</v>
          </cell>
        </row>
        <row r="48">
          <cell r="A48" t="str">
            <v>33 MG Road</v>
          </cell>
          <cell r="D48" t="str">
            <v>E047</v>
          </cell>
        </row>
        <row r="49">
          <cell r="A49" t="str">
            <v>27 Park Street</v>
          </cell>
          <cell r="D49" t="str">
            <v>E048</v>
          </cell>
        </row>
        <row r="50">
          <cell r="A50" t="str">
            <v>18 Church Street</v>
          </cell>
          <cell r="D50" t="str">
            <v>E049</v>
          </cell>
        </row>
        <row r="51">
          <cell r="A51" t="str">
            <v>44 T Nagar</v>
          </cell>
          <cell r="D51" t="str">
            <v>E050</v>
          </cell>
        </row>
        <row r="52">
          <cell r="A52" t="str">
            <v>66 Colaba Causeway</v>
          </cell>
          <cell r="D52" t="str">
            <v>E051</v>
          </cell>
        </row>
        <row r="53">
          <cell r="A53" t="str">
            <v>12 Koregaon Park</v>
          </cell>
          <cell r="D53" t="str">
            <v>E052</v>
          </cell>
        </row>
        <row r="54">
          <cell r="A54" t="str">
            <v>5 Banjara Hills</v>
          </cell>
          <cell r="D54" t="str">
            <v>E053</v>
          </cell>
        </row>
        <row r="55">
          <cell r="A55" t="str">
            <v>8 CG Road</v>
          </cell>
          <cell r="D55" t="str">
            <v>E054</v>
          </cell>
        </row>
        <row r="56">
          <cell r="A56" t="str">
            <v>20 Hazratganj</v>
          </cell>
          <cell r="D56" t="str">
            <v>E055</v>
          </cell>
        </row>
        <row r="57">
          <cell r="A57" t="str">
            <v>3 MI Road</v>
          </cell>
          <cell r="D57" t="str">
            <v>E056</v>
          </cell>
        </row>
        <row r="58">
          <cell r="A58" t="str">
            <v>11 Sector 17</v>
          </cell>
          <cell r="D58" t="str">
            <v>E057</v>
          </cell>
        </row>
        <row r="59">
          <cell r="A59" t="str">
            <v>29 Udyog Vihar</v>
          </cell>
          <cell r="D59" t="str">
            <v>E058</v>
          </cell>
        </row>
        <row r="60">
          <cell r="A60" t="str">
            <v>14 Sector 62</v>
          </cell>
          <cell r="D60" t="str">
            <v>E059</v>
          </cell>
        </row>
        <row r="61">
          <cell r="A61" t="str">
            <v>2 Indirapuram</v>
          </cell>
          <cell r="D61" t="str">
            <v>E060</v>
          </cell>
        </row>
        <row r="62">
          <cell r="A62" t="str">
            <v>9 Sector 15</v>
          </cell>
          <cell r="D62" t="str">
            <v>E061</v>
          </cell>
        </row>
        <row r="63">
          <cell r="A63" t="str">
            <v>18 Swaroop Nagar</v>
          </cell>
          <cell r="D63" t="str">
            <v>E062</v>
          </cell>
        </row>
        <row r="64">
          <cell r="A64" t="str">
            <v>7 Athwagate</v>
          </cell>
          <cell r="D64" t="str">
            <v>E063</v>
          </cell>
        </row>
        <row r="65">
          <cell r="A65" t="str">
            <v>21 Sama Road</v>
          </cell>
          <cell r="D65" t="str">
            <v>E064</v>
          </cell>
        </row>
        <row r="66">
          <cell r="A66" t="str">
            <v>16 Bittan Market</v>
          </cell>
          <cell r="D66" t="str">
            <v>E065</v>
          </cell>
        </row>
        <row r="67">
          <cell r="A67" t="str">
            <v>4 MR10 Road</v>
          </cell>
          <cell r="D67" t="str">
            <v>E066</v>
          </cell>
        </row>
        <row r="68">
          <cell r="A68" t="str">
            <v>12 Kankarbagh</v>
          </cell>
          <cell r="D68" t="str">
            <v>E067</v>
          </cell>
        </row>
        <row r="69">
          <cell r="A69" t="str">
            <v>8 Hinoo Road</v>
          </cell>
          <cell r="D69" t="str">
            <v>E068</v>
          </cell>
        </row>
        <row r="70">
          <cell r="A70" t="str">
            <v>5 Rasulgarh</v>
          </cell>
          <cell r="D70" t="str">
            <v>E069</v>
          </cell>
        </row>
        <row r="71">
          <cell r="A71" t="str">
            <v>10 Gandhipuram</v>
          </cell>
          <cell r="D71" t="str">
            <v>E070</v>
          </cell>
        </row>
        <row r="72">
          <cell r="A72" t="str">
            <v>3 Fort Kochi</v>
          </cell>
          <cell r="D72" t="str">
            <v>E071</v>
          </cell>
        </row>
        <row r="73">
          <cell r="A73" t="str">
            <v>22 Pattom</v>
          </cell>
          <cell r="D73" t="str">
            <v>E072</v>
          </cell>
        </row>
        <row r="74">
          <cell r="A74" t="str">
            <v>6 Nazarbad Road</v>
          </cell>
          <cell r="D74" t="str">
            <v>E073</v>
          </cell>
        </row>
        <row r="75">
          <cell r="A75" t="str">
            <v>11 Dharampeth</v>
          </cell>
          <cell r="D75" t="str">
            <v>E074</v>
          </cell>
        </row>
        <row r="76">
          <cell r="A76" t="str">
            <v>14 College Road</v>
          </cell>
          <cell r="D76" t="str">
            <v>E075</v>
          </cell>
        </row>
        <row r="77">
          <cell r="A77" t="str">
            <v>9 Sardarpura</v>
          </cell>
          <cell r="D77" t="str">
            <v>E076</v>
          </cell>
        </row>
        <row r="78">
          <cell r="A78" t="str">
            <v>5 Dewali</v>
          </cell>
          <cell r="D78" t="str">
            <v>E077</v>
          </cell>
        </row>
        <row r="79">
          <cell r="A79" t="str">
            <v>18 Sanjay Place</v>
          </cell>
          <cell r="D79" t="str">
            <v>E078</v>
          </cell>
        </row>
        <row r="80">
          <cell r="A80" t="str">
            <v>2 Lanka Road</v>
          </cell>
          <cell r="D80" t="str">
            <v>E079</v>
          </cell>
        </row>
        <row r="81">
          <cell r="A81" t="str">
            <v>7 Shastri Nagar</v>
          </cell>
          <cell r="D81" t="str">
            <v>E080</v>
          </cell>
        </row>
        <row r="82">
          <cell r="A82" t="str">
            <v>20 Ferozepur Road</v>
          </cell>
          <cell r="D82" t="str">
            <v>E081</v>
          </cell>
        </row>
        <row r="83">
          <cell r="A83" t="str">
            <v>12 Lawrence Road</v>
          </cell>
          <cell r="D83" t="str">
            <v>E082</v>
          </cell>
        </row>
        <row r="84">
          <cell r="A84" t="str">
            <v>9 Model Town</v>
          </cell>
          <cell r="D84" t="str">
            <v>E083</v>
          </cell>
        </row>
        <row r="85">
          <cell r="A85" t="str">
            <v>25 Rajpur Road</v>
          </cell>
          <cell r="D85" t="str">
            <v>E084</v>
          </cell>
        </row>
        <row r="86">
          <cell r="A86" t="str">
            <v>6 The Mall</v>
          </cell>
          <cell r="D86" t="str">
            <v>E085</v>
          </cell>
        </row>
        <row r="87">
          <cell r="A87" t="str">
            <v>11 Lal Chowk</v>
          </cell>
          <cell r="D87" t="str">
            <v>E086</v>
          </cell>
        </row>
        <row r="88">
          <cell r="A88" t="str">
            <v>8 GS Road</v>
          </cell>
          <cell r="D88" t="str">
            <v>E087</v>
          </cell>
        </row>
        <row r="89">
          <cell r="A89" t="str">
            <v>3 Thangal Bazar</v>
          </cell>
          <cell r="D89" t="str">
            <v>E088</v>
          </cell>
        </row>
        <row r="90">
          <cell r="A90" t="str">
            <v>14 VIP Road</v>
          </cell>
          <cell r="D90" t="str">
            <v>E089</v>
          </cell>
        </row>
        <row r="91">
          <cell r="A91" t="str">
            <v>5 Kohima Road</v>
          </cell>
          <cell r="D91" t="str">
            <v>E090</v>
          </cell>
        </row>
        <row r="92">
          <cell r="A92" t="str">
            <v>19 Zarkawt</v>
          </cell>
          <cell r="D92" t="str">
            <v>E091</v>
          </cell>
        </row>
        <row r="93">
          <cell r="A93" t="str">
            <v>2 Aberdeen Bazaar</v>
          </cell>
          <cell r="D93" t="str">
            <v>E092</v>
          </cell>
        </row>
        <row r="94">
          <cell r="A94" t="str">
            <v>28 MG Road</v>
          </cell>
          <cell r="D94" t="str">
            <v>E093</v>
          </cell>
        </row>
        <row r="95">
          <cell r="A95" t="str">
            <v>33 Park Street</v>
          </cell>
          <cell r="D95" t="str">
            <v>E094</v>
          </cell>
        </row>
        <row r="96">
          <cell r="A96" t="str">
            <v>7 Brigade Road</v>
          </cell>
          <cell r="D96" t="str">
            <v>E095</v>
          </cell>
        </row>
        <row r="97">
          <cell r="A97" t="str">
            <v>44 Anna Salai</v>
          </cell>
          <cell r="D97" t="str">
            <v>E096</v>
          </cell>
        </row>
        <row r="98">
          <cell r="A98" t="str">
            <v>66 Marine Drive</v>
          </cell>
          <cell r="D98" t="str">
            <v>E097</v>
          </cell>
        </row>
        <row r="99">
          <cell r="A99" t="str">
            <v>12 Koregaon Park</v>
          </cell>
          <cell r="D99" t="str">
            <v>E098</v>
          </cell>
        </row>
        <row r="100">
          <cell r="A100" t="str">
            <v>9 Banjara Hills</v>
          </cell>
          <cell r="D100" t="str">
            <v>E099</v>
          </cell>
        </row>
        <row r="101">
          <cell r="A101" t="str">
            <v>5 SG Highway</v>
          </cell>
          <cell r="D101" t="str">
            <v>E100</v>
          </cell>
        </row>
        <row r="102">
          <cell r="A102" t="str">
            <v>21 Hazratganj</v>
          </cell>
          <cell r="D102" t="str">
            <v>E101</v>
          </cell>
        </row>
        <row r="103">
          <cell r="A103" t="str">
            <v>14 MI Road</v>
          </cell>
          <cell r="D103" t="str">
            <v>E102</v>
          </cell>
        </row>
        <row r="104">
          <cell r="A104" t="str">
            <v>8 Sector 17</v>
          </cell>
          <cell r="D104" t="str">
            <v>E103</v>
          </cell>
        </row>
        <row r="105">
          <cell r="A105" t="str">
            <v>20 Udyog Vihar</v>
          </cell>
          <cell r="D105" t="str">
            <v>E104</v>
          </cell>
        </row>
        <row r="106">
          <cell r="A106" t="str">
            <v>11 Sector 18</v>
          </cell>
          <cell r="D106" t="str">
            <v>E105</v>
          </cell>
        </row>
        <row r="107">
          <cell r="A107" t="str">
            <v>6 Raj Nagar</v>
          </cell>
          <cell r="D107" t="str">
            <v>E106</v>
          </cell>
        </row>
        <row r="108">
          <cell r="A108" t="str">
            <v>3 Indirapuram</v>
          </cell>
          <cell r="D108" t="str">
            <v>E107</v>
          </cell>
        </row>
        <row r="109">
          <cell r="A109" t="str">
            <v>17 Swaroop Nagar</v>
          </cell>
          <cell r="D109" t="str">
            <v>E108</v>
          </cell>
        </row>
        <row r="110">
          <cell r="A110" t="str">
            <v>9 Athwagate</v>
          </cell>
          <cell r="D110" t="str">
            <v>E109</v>
          </cell>
        </row>
        <row r="111">
          <cell r="A111" t="str">
            <v>2 Sama Road</v>
          </cell>
          <cell r="D111" t="str">
            <v>E110</v>
          </cell>
        </row>
        <row r="112">
          <cell r="A112" t="str">
            <v>12 Arera Hills</v>
          </cell>
          <cell r="D112" t="str">
            <v>E111</v>
          </cell>
        </row>
        <row r="113">
          <cell r="A113" t="str">
            <v>5 MR10 Road</v>
          </cell>
          <cell r="D113" t="str">
            <v>E112</v>
          </cell>
        </row>
        <row r="114">
          <cell r="A114" t="str">
            <v>18 Bailey Road</v>
          </cell>
          <cell r="D114" t="str">
            <v>E113</v>
          </cell>
        </row>
        <row r="115">
          <cell r="A115" t="str">
            <v>7 Doranda Road</v>
          </cell>
          <cell r="D115" t="str">
            <v>E114</v>
          </cell>
        </row>
        <row r="116">
          <cell r="A116" t="str">
            <v>4 Rasulgarh</v>
          </cell>
          <cell r="D116" t="str">
            <v>E115</v>
          </cell>
        </row>
        <row r="117">
          <cell r="A117" t="str">
            <v>10 Gandhipuram</v>
          </cell>
          <cell r="D117" t="str">
            <v>E116</v>
          </cell>
        </row>
        <row r="118">
          <cell r="A118" t="str">
            <v>6 Fort Kochi</v>
          </cell>
          <cell r="D118" t="str">
            <v>E117</v>
          </cell>
        </row>
        <row r="119">
          <cell r="A119" t="str">
            <v>21 Pattom</v>
          </cell>
          <cell r="D119" t="str">
            <v>E118</v>
          </cell>
        </row>
        <row r="120">
          <cell r="A120" t="str">
            <v>8 Nazarbad Road</v>
          </cell>
          <cell r="D120" t="str">
            <v>E119</v>
          </cell>
        </row>
        <row r="121">
          <cell r="A121" t="str">
            <v>14 Dharampeth</v>
          </cell>
          <cell r="D121" t="str">
            <v>E120</v>
          </cell>
        </row>
        <row r="122">
          <cell r="A122" t="str">
            <v>3 College Road</v>
          </cell>
          <cell r="D122" t="str">
            <v>E121</v>
          </cell>
        </row>
        <row r="123">
          <cell r="A123" t="str">
            <v>11 Sardarpura</v>
          </cell>
          <cell r="D123" t="str">
            <v>E122</v>
          </cell>
        </row>
        <row r="124">
          <cell r="A124" t="str">
            <v>9 Dewali</v>
          </cell>
          <cell r="D124" t="str">
            <v>E123</v>
          </cell>
        </row>
        <row r="125">
          <cell r="A125" t="str">
            <v>6 Sanjay Place</v>
          </cell>
          <cell r="D125" t="str">
            <v>E124</v>
          </cell>
        </row>
        <row r="126">
          <cell r="A126" t="str">
            <v>22 Lanka Road</v>
          </cell>
          <cell r="D126" t="str">
            <v>E125</v>
          </cell>
        </row>
        <row r="127">
          <cell r="A127" t="str">
            <v>5 Shastri Nagar</v>
          </cell>
          <cell r="D127" t="str">
            <v>E126</v>
          </cell>
        </row>
        <row r="128">
          <cell r="A128" t="str">
            <v>18 Ferozepur Road</v>
          </cell>
          <cell r="D128" t="str">
            <v>E127</v>
          </cell>
        </row>
        <row r="129">
          <cell r="A129" t="str">
            <v>7 Lawrence Road</v>
          </cell>
          <cell r="D129" t="str">
            <v>E128</v>
          </cell>
        </row>
        <row r="130">
          <cell r="A130" t="str">
            <v>4 Model Town</v>
          </cell>
          <cell r="D130" t="str">
            <v>E129</v>
          </cell>
        </row>
        <row r="131">
          <cell r="A131" t="str">
            <v>12 Rajpur Road</v>
          </cell>
          <cell r="D131" t="str">
            <v>E130</v>
          </cell>
        </row>
        <row r="132">
          <cell r="A132" t="str">
            <v>2 The Mall</v>
          </cell>
          <cell r="D132" t="str">
            <v>E131</v>
          </cell>
        </row>
        <row r="133">
          <cell r="A133" t="str">
            <v>9 Lal Chowk</v>
          </cell>
          <cell r="D133" t="str">
            <v>E132</v>
          </cell>
        </row>
        <row r="134">
          <cell r="A134" t="str">
            <v>16 GS Road</v>
          </cell>
          <cell r="D134" t="str">
            <v>E133</v>
          </cell>
        </row>
        <row r="135">
          <cell r="A135" t="str">
            <v>5 Thangal Bazar</v>
          </cell>
          <cell r="D135" t="str">
            <v>E134</v>
          </cell>
        </row>
        <row r="136">
          <cell r="A136" t="str">
            <v>11 VIP Road</v>
          </cell>
          <cell r="D136" t="str">
            <v>E135</v>
          </cell>
        </row>
        <row r="137">
          <cell r="A137" t="str">
            <v>8 Kohima Road</v>
          </cell>
          <cell r="D137" t="str">
            <v>E136</v>
          </cell>
        </row>
        <row r="138">
          <cell r="A138" t="str">
            <v>3 Zarkawt</v>
          </cell>
          <cell r="D138" t="str">
            <v>E137</v>
          </cell>
        </row>
        <row r="139">
          <cell r="A139" t="str">
            <v>14 Aberdeen Bazaar</v>
          </cell>
          <cell r="D139" t="str">
            <v>E138</v>
          </cell>
        </row>
        <row r="140">
          <cell r="A140" t="str">
            <v>10 MG Road</v>
          </cell>
          <cell r="D140" t="str">
            <v>E139</v>
          </cell>
        </row>
        <row r="141">
          <cell r="A141" t="str">
            <v>26 Park Street</v>
          </cell>
          <cell r="D141" t="str">
            <v>E140</v>
          </cell>
        </row>
        <row r="142">
          <cell r="A142" t="str">
            <v>4 Brigade Road</v>
          </cell>
          <cell r="D142" t="str">
            <v>E141</v>
          </cell>
        </row>
        <row r="143">
          <cell r="A143" t="str">
            <v>19 Anna Salai</v>
          </cell>
          <cell r="D143" t="str">
            <v>E142</v>
          </cell>
        </row>
        <row r="144">
          <cell r="A144" t="str">
            <v>33 Marine Drive</v>
          </cell>
          <cell r="D144" t="str">
            <v>E143</v>
          </cell>
        </row>
        <row r="145">
          <cell r="A145" t="str">
            <v>15 Koregaon Park</v>
          </cell>
          <cell r="D145" t="str">
            <v>E144</v>
          </cell>
        </row>
        <row r="146">
          <cell r="A146" t="str">
            <v>6 Banjara Hills</v>
          </cell>
          <cell r="D146" t="str">
            <v>E145</v>
          </cell>
        </row>
        <row r="147">
          <cell r="A147" t="str">
            <v>9 CG Road</v>
          </cell>
          <cell r="D147" t="str">
            <v>E146</v>
          </cell>
        </row>
        <row r="148">
          <cell r="A148" t="str">
            <v>12 Hazratganj</v>
          </cell>
          <cell r="D148" t="str">
            <v>E147</v>
          </cell>
        </row>
        <row r="149">
          <cell r="A149" t="str">
            <v>8 MI Road</v>
          </cell>
          <cell r="D149" t="str">
            <v>E148</v>
          </cell>
        </row>
        <row r="150">
          <cell r="A150" t="str">
            <v>21 Sector 17</v>
          </cell>
          <cell r="D150" t="str">
            <v>E149</v>
          </cell>
        </row>
        <row r="151">
          <cell r="A151" t="str">
            <v>5 Udyog Vihar</v>
          </cell>
          <cell r="D151" t="str">
            <v>E150</v>
          </cell>
        </row>
        <row r="152">
          <cell r="A152" t="str">
            <v>17 Sector 18</v>
          </cell>
          <cell r="D152" t="str">
            <v>E151</v>
          </cell>
        </row>
        <row r="153">
          <cell r="A153" t="str">
            <v>3 Raj Nagar</v>
          </cell>
          <cell r="D153" t="str">
            <v>E152</v>
          </cell>
        </row>
        <row r="154">
          <cell r="A154" t="str">
            <v>11 Indirapuram</v>
          </cell>
          <cell r="D154" t="str">
            <v>E153</v>
          </cell>
        </row>
        <row r="155">
          <cell r="A155" t="str">
            <v>6 Swaroop Nagar</v>
          </cell>
          <cell r="D155" t="str">
            <v>E154</v>
          </cell>
        </row>
        <row r="156">
          <cell r="A156" t="str">
            <v>9 Athwagate</v>
          </cell>
          <cell r="D156" t="str">
            <v>E155</v>
          </cell>
        </row>
        <row r="157">
          <cell r="A157" t="str">
            <v>14 Sama Road</v>
          </cell>
          <cell r="D157" t="str">
            <v>E156</v>
          </cell>
        </row>
        <row r="158">
          <cell r="A158" t="str">
            <v>7 Arera Hills</v>
          </cell>
          <cell r="D158" t="str">
            <v>E157</v>
          </cell>
        </row>
        <row r="159">
          <cell r="A159" t="str">
            <v>10 MR10 Road</v>
          </cell>
          <cell r="D159" t="str">
            <v>E158</v>
          </cell>
        </row>
        <row r="160">
          <cell r="A160" t="str">
            <v>2 Bailey Road</v>
          </cell>
          <cell r="D160" t="str">
            <v>E159</v>
          </cell>
        </row>
        <row r="161">
          <cell r="A161" t="str">
            <v>8 Doranda Road</v>
          </cell>
          <cell r="D161" t="str">
            <v>E160</v>
          </cell>
        </row>
        <row r="162">
          <cell r="A162" t="str">
            <v>13 Rasulgarh</v>
          </cell>
          <cell r="D162" t="str">
            <v>E161</v>
          </cell>
        </row>
        <row r="163">
          <cell r="A163" t="str">
            <v>5 Gandhipuram</v>
          </cell>
          <cell r="D163" t="str">
            <v>E162</v>
          </cell>
        </row>
        <row r="164">
          <cell r="A164" t="str">
            <v>6 Fort Kochi</v>
          </cell>
          <cell r="D164" t="str">
            <v>E163</v>
          </cell>
        </row>
        <row r="165">
          <cell r="A165" t="str">
            <v>18 Pattom</v>
          </cell>
          <cell r="D165" t="str">
            <v>E164</v>
          </cell>
        </row>
        <row r="166">
          <cell r="A166" t="str">
            <v>9 Nazarbad Road</v>
          </cell>
          <cell r="D166" t="str">
            <v>E165</v>
          </cell>
        </row>
        <row r="167">
          <cell r="A167" t="str">
            <v>12 Dharampeth</v>
          </cell>
          <cell r="D167" t="str">
            <v>E166</v>
          </cell>
        </row>
        <row r="168">
          <cell r="A168" t="str">
            <v>4 College Road</v>
          </cell>
          <cell r="D168" t="str">
            <v>E167</v>
          </cell>
        </row>
        <row r="169">
          <cell r="A169" t="str">
            <v>7 Sardarpura</v>
          </cell>
          <cell r="D169" t="str">
            <v>E168</v>
          </cell>
        </row>
        <row r="170">
          <cell r="A170" t="str">
            <v>16 Dewali</v>
          </cell>
          <cell r="D170" t="str">
            <v>E169</v>
          </cell>
        </row>
        <row r="171">
          <cell r="A171" t="str">
            <v>10 Sanjay Place</v>
          </cell>
          <cell r="D171" t="str">
            <v>E170</v>
          </cell>
        </row>
        <row r="172">
          <cell r="A172" t="str">
            <v>2 Lanka Road</v>
          </cell>
          <cell r="D172" t="str">
            <v>E171</v>
          </cell>
        </row>
        <row r="173">
          <cell r="A173" t="str">
            <v>14 Shastri Nagar</v>
          </cell>
          <cell r="D173" t="str">
            <v>E172</v>
          </cell>
        </row>
        <row r="174">
          <cell r="A174" t="str">
            <v>11 Ferozepur Road</v>
          </cell>
          <cell r="D174" t="str">
            <v>E173</v>
          </cell>
        </row>
        <row r="175">
          <cell r="A175" t="str">
            <v>6 Lawrence Road</v>
          </cell>
          <cell r="D175" t="str">
            <v>E174</v>
          </cell>
        </row>
        <row r="176">
          <cell r="A176" t="str">
            <v>8 Model Town</v>
          </cell>
          <cell r="D176" t="str">
            <v>E175</v>
          </cell>
        </row>
        <row r="177">
          <cell r="A177" t="str">
            <v>20 Rajpur Road</v>
          </cell>
          <cell r="D177" t="str">
            <v>E176</v>
          </cell>
        </row>
        <row r="178">
          <cell r="A178" t="str">
            <v>3 The Mall</v>
          </cell>
          <cell r="D178" t="str">
            <v>E177</v>
          </cell>
        </row>
        <row r="179">
          <cell r="A179" t="str">
            <v>9 Lal Chowk</v>
          </cell>
          <cell r="D179" t="str">
            <v>E178</v>
          </cell>
        </row>
        <row r="180">
          <cell r="A180" t="str">
            <v>5 GS Road</v>
          </cell>
          <cell r="D180" t="str">
            <v>E179</v>
          </cell>
        </row>
        <row r="181">
          <cell r="A181" t="str">
            <v>12 Thangal Bazar</v>
          </cell>
          <cell r="D181" t="str">
            <v>E180</v>
          </cell>
        </row>
        <row r="182">
          <cell r="A182" t="str">
            <v>7 VIP Road</v>
          </cell>
          <cell r="D182" t="str">
            <v>E181</v>
          </cell>
        </row>
        <row r="183">
          <cell r="A183" t="str">
            <v>4 Kohima Road</v>
          </cell>
          <cell r="D183" t="str">
            <v>E182</v>
          </cell>
        </row>
        <row r="184">
          <cell r="A184" t="str">
            <v>15 Zarkawt</v>
          </cell>
          <cell r="D184" t="str">
            <v>E183</v>
          </cell>
        </row>
        <row r="185">
          <cell r="A185" t="str">
            <v>6 Aberdeen Bazaar</v>
          </cell>
          <cell r="D185" t="str">
            <v>E184</v>
          </cell>
        </row>
        <row r="186">
          <cell r="A186" t="str">
            <v>21 MG Road</v>
          </cell>
          <cell r="D186" t="str">
            <v>E185</v>
          </cell>
        </row>
        <row r="187">
          <cell r="A187" t="str">
            <v>28 Park Street</v>
          </cell>
          <cell r="D187" t="str">
            <v>E186</v>
          </cell>
        </row>
        <row r="188">
          <cell r="A188" t="str">
            <v>10 Brigade Road</v>
          </cell>
          <cell r="D188" t="str">
            <v>E187</v>
          </cell>
        </row>
        <row r="189">
          <cell r="A189" t="str">
            <v>17 Anna Salai</v>
          </cell>
          <cell r="D189" t="str">
            <v>E188</v>
          </cell>
        </row>
        <row r="190">
          <cell r="A190" t="str">
            <v>13 Marine Drive</v>
          </cell>
          <cell r="D190" t="str">
            <v>E189</v>
          </cell>
        </row>
        <row r="191">
          <cell r="A191" t="str">
            <v>8 Koregaon Park</v>
          </cell>
          <cell r="D191" t="str">
            <v>E190</v>
          </cell>
        </row>
        <row r="192">
          <cell r="A192" t="str">
            <v>6 Banjara Hills</v>
          </cell>
          <cell r="D192" t="str">
            <v>E191</v>
          </cell>
        </row>
        <row r="193">
          <cell r="A193" t="str">
            <v>19 CG Road</v>
          </cell>
          <cell r="D193" t="str">
            <v>E192</v>
          </cell>
        </row>
        <row r="194">
          <cell r="A194" t="str">
            <v>11 Hazratganj</v>
          </cell>
          <cell r="D194" t="str">
            <v>E193</v>
          </cell>
        </row>
        <row r="195">
          <cell r="A195" t="str">
            <v>5 MI Road</v>
          </cell>
          <cell r="D195" t="str">
            <v>E194</v>
          </cell>
        </row>
        <row r="196">
          <cell r="A196" t="str">
            <v>14 Sector 17</v>
          </cell>
          <cell r="D196" t="str">
            <v>E195</v>
          </cell>
        </row>
        <row r="197">
          <cell r="A197" t="str">
            <v>9 Udyog Vihar</v>
          </cell>
          <cell r="D197" t="str">
            <v>E196</v>
          </cell>
        </row>
        <row r="198">
          <cell r="A198" t="str">
            <v>4 Sector 18</v>
          </cell>
          <cell r="D198" t="str">
            <v>E197</v>
          </cell>
        </row>
        <row r="199">
          <cell r="A199" t="str">
            <v>2 Raj Nagar</v>
          </cell>
          <cell r="D199" t="str">
            <v>E198</v>
          </cell>
        </row>
        <row r="200">
          <cell r="A200" t="str">
            <v>13 Indirapuram</v>
          </cell>
          <cell r="D200" t="str">
            <v>E199</v>
          </cell>
        </row>
        <row r="201">
          <cell r="A201" t="str">
            <v>7 Swaroop Nagar</v>
          </cell>
          <cell r="D201" t="str">
            <v>E200</v>
          </cell>
        </row>
      </sheetData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72329-ADED-49AF-8DE0-89EE4507EFF8}" name="Table1" displayName="Table1" ref="A1:F201" totalsRowShown="0" headerRowDxfId="5" headerRowBorderDxfId="8" tableBorderDxfId="9" totalsRowBorderDxfId="7">
  <autoFilter ref="A1:F201" xr:uid="{3B872329-ADED-49AF-8DE0-89EE4507EFF8}"/>
  <tableColumns count="6">
    <tableColumn id="1" xr3:uid="{98BBD4E3-A2A5-4A3A-B942-A08922960BE5}" name="EmpID" dataDxfId="6"/>
    <tableColumn id="2" xr3:uid="{A69F2FB3-25AE-47D4-B96D-827D84265526}" name="Name" dataDxfId="4"/>
    <tableColumn id="3" xr3:uid="{CB00393B-04D0-4B38-AC19-59BEDBE91B73}" name="Department" dataDxfId="3">
      <calculatedColumnFormula>INDEX([1]Sheet1!$C$1:$C$201,MATCH(Table1[[#This Row],[EmpID]],[1]Sheet1!$A$1:$A$201,0))</calculatedColumnFormula>
    </tableColumn>
    <tableColumn id="4" xr3:uid="{9943D693-6C81-44DA-BEC8-54A7AFC9EC1B}" name="Salary" dataDxfId="2">
      <calculatedColumnFormula>INDEX([1]Sheet1!$D$1:$D$201,MATCH(Table1[[#This Row],[EmpID]],[1]Sheet1!$A$1:$A$201,0))</calculatedColumnFormula>
    </tableColumn>
    <tableColumn id="5" xr3:uid="{024215A6-BCE9-4191-A152-7B4D087594C9}" name="JoinDate" dataDxfId="1">
      <calculatedColumnFormula>INDEX([1]Sheet1!$E$1:$E$201,MATCH(Table1[[#This Row],[EmpID]],[1]Sheet1!$A$1:$A$201,0))</calculatedColumnFormula>
    </tableColumn>
    <tableColumn id="6" xr3:uid="{7FC1D077-4EC9-486A-9D94-AF674106B375}" name="Address" dataDxfId="0">
      <calculatedColumnFormula>INDEX('[1]Sheet5 (2)'!$A$1:$A$201,MATCH(Table1[[#This Row],[EmpID]],'[1]Sheet5 (2)'!$D$1:$D$201,0))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zoomScale="130" zoomScaleNormal="130" workbookViewId="0">
      <selection activeCell="E9" sqref="E9"/>
    </sheetView>
  </sheetViews>
  <sheetFormatPr defaultRowHeight="14.4" x14ac:dyDescent="0.3"/>
  <cols>
    <col min="1" max="1" width="12.21875" customWidth="1"/>
    <col min="2" max="2" width="15.77734375" customWidth="1"/>
    <col min="3" max="3" width="16.33203125" customWidth="1"/>
    <col min="4" max="4" width="11.88671875" customWidth="1"/>
    <col min="5" max="5" width="17.109375" bestFit="1" customWidth="1"/>
    <col min="6" max="6" width="17.109375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405</v>
      </c>
    </row>
    <row r="2" spans="1:6" x14ac:dyDescent="0.3">
      <c r="A2" s="2" t="s">
        <v>5</v>
      </c>
      <c r="B2" s="1" t="s">
        <v>6</v>
      </c>
      <c r="C2" s="1" t="str">
        <f>INDEX([1]Sheet1!$C$1:$C$201,MATCH(Table1[[#This Row],[EmpID]],[1]Sheet1!$A$1:$A$201,0))</f>
        <v>Sales</v>
      </c>
      <c r="D2" s="1">
        <f>INDEX([1]Sheet1!$D$1:$D$201,MATCH(Table1[[#This Row],[EmpID]],[1]Sheet1!$A$1:$A$201,0))</f>
        <v>52000</v>
      </c>
      <c r="E2" s="8">
        <f>INDEX([1]Sheet1!$E$1:$E$201,MATCH(Table1[[#This Row],[EmpID]],[1]Sheet1!$A$1:$A$201,0))</f>
        <v>43536</v>
      </c>
      <c r="F2" s="11" t="str">
        <f>INDEX('[1]Sheet5 (2)'!$A$1:$A$201,MATCH(Table1[[#This Row],[EmpID]],'[1]Sheet5 (2)'!$D$1:$D$201,0))</f>
        <v>12 MG Road</v>
      </c>
    </row>
    <row r="3" spans="1:6" x14ac:dyDescent="0.3">
      <c r="A3" s="2" t="s">
        <v>7</v>
      </c>
      <c r="B3" s="1" t="s">
        <v>8</v>
      </c>
      <c r="C3" s="1" t="str">
        <f>INDEX([1]Sheet1!$C$1:$C$201,MATCH(Table1[[#This Row],[EmpID]],[1]Sheet1!$A$1:$A$201,0))</f>
        <v>HR</v>
      </c>
      <c r="D3" s="1">
        <f>INDEX([1]Sheet1!$D$1:$D$201,MATCH(Table1[[#This Row],[EmpID]],[1]Sheet1!$A$1:$A$201,0))</f>
        <v>48000</v>
      </c>
      <c r="E3" s="8">
        <f>INDEX([1]Sheet1!$E$1:$E$201,MATCH(Table1[[#This Row],[EmpID]],[1]Sheet1!$A$1:$A$201,0))</f>
        <v>44013</v>
      </c>
      <c r="F3" s="10" t="str">
        <f>INDEX('[1]Sheet5 (2)'!$A$1:$A$201,MATCH(Table1[[#This Row],[EmpID]],'[1]Sheet5 (2)'!$D$1:$D$201,0))</f>
        <v>45 Park Street</v>
      </c>
    </row>
    <row r="4" spans="1:6" x14ac:dyDescent="0.3">
      <c r="A4" s="2" t="s">
        <v>9</v>
      </c>
      <c r="B4" s="1" t="s">
        <v>10</v>
      </c>
      <c r="C4" s="1" t="str">
        <f>INDEX([1]Sheet1!$C$1:$C$201,MATCH(Table1[[#This Row],[EmpID]],[1]Sheet1!$A$1:$A$201,0))</f>
        <v>IT</v>
      </c>
      <c r="D4" s="1">
        <f>INDEX([1]Sheet1!$D$1:$D$201,MATCH(Table1[[#This Row],[EmpID]],[1]Sheet1!$A$1:$A$201,0))</f>
        <v>75000</v>
      </c>
      <c r="E4" s="8">
        <f>INDEX([1]Sheet1!$E$1:$E$201,MATCH(Table1[[#This Row],[EmpID]],[1]Sheet1!$A$1:$A$201,0))</f>
        <v>43424</v>
      </c>
      <c r="F4" s="10" t="str">
        <f>INDEX('[1]Sheet5 (2)'!$A$1:$A$201,MATCH(Table1[[#This Row],[EmpID]],'[1]Sheet5 (2)'!$D$1:$D$201,0))</f>
        <v>7 Brigade Road</v>
      </c>
    </row>
    <row r="5" spans="1:6" x14ac:dyDescent="0.3">
      <c r="A5" s="2" t="s">
        <v>11</v>
      </c>
      <c r="B5" s="1" t="s">
        <v>12</v>
      </c>
      <c r="C5" s="1" t="str">
        <f>INDEX([1]Sheet1!$C$1:$C$201,MATCH(Table1[[#This Row],[EmpID]],[1]Sheet1!$A$1:$A$201,0))</f>
        <v>Finance</v>
      </c>
      <c r="D5" s="1">
        <f>INDEX([1]Sheet1!$D$1:$D$201,MATCH(Table1[[#This Row],[EmpID]],[1]Sheet1!$A$1:$A$201,0))</f>
        <v>61000</v>
      </c>
      <c r="E5" s="8">
        <f>INDEX([1]Sheet1!$E$1:$E$201,MATCH(Table1[[#This Row],[EmpID]],[1]Sheet1!$A$1:$A$201,0))</f>
        <v>44211</v>
      </c>
      <c r="F5" s="10" t="str">
        <f>INDEX('[1]Sheet5 (2)'!$A$1:$A$201,MATCH(Table1[[#This Row],[EmpID]],'[1]Sheet5 (2)'!$D$1:$D$201,0))</f>
        <v>88 Anna Salai</v>
      </c>
    </row>
    <row r="6" spans="1:6" x14ac:dyDescent="0.3">
      <c r="A6" s="2" t="s">
        <v>13</v>
      </c>
      <c r="B6" s="1" t="s">
        <v>14</v>
      </c>
      <c r="C6" s="1" t="str">
        <f>INDEX([1]Sheet1!$C$1:$C$201,MATCH(Table1[[#This Row],[EmpID]],[1]Sheet1!$A$1:$A$201,0))</f>
        <v>Marketing</v>
      </c>
      <c r="D6" s="1">
        <f>INDEX([1]Sheet1!$D$1:$D$201,MATCH(Table1[[#This Row],[EmpID]],[1]Sheet1!$A$1:$A$201,0))</f>
        <v>69000</v>
      </c>
      <c r="E6" s="8">
        <f>INDEX([1]Sheet1!$E$1:$E$201,MATCH(Table1[[#This Row],[EmpID]],[1]Sheet1!$A$1:$A$201,0))</f>
        <v>42916</v>
      </c>
      <c r="F6" s="10" t="str">
        <f>INDEX('[1]Sheet5 (2)'!$A$1:$A$201,MATCH(Table1[[#This Row],[EmpID]],'[1]Sheet5 (2)'!$D$1:$D$201,0))</f>
        <v>101 Marine Drive</v>
      </c>
    </row>
    <row r="7" spans="1:6" x14ac:dyDescent="0.3">
      <c r="A7" s="2" t="s">
        <v>15</v>
      </c>
      <c r="B7" s="1" t="s">
        <v>16</v>
      </c>
      <c r="C7" s="1" t="str">
        <f>INDEX([1]Sheet1!$C$1:$C$201,MATCH(Table1[[#This Row],[EmpID]],[1]Sheet1!$A$1:$A$201,0))</f>
        <v>Operations</v>
      </c>
      <c r="D7" s="1">
        <f>INDEX([1]Sheet1!$D$1:$D$201,MATCH(Table1[[#This Row],[EmpID]],[1]Sheet1!$A$1:$A$201,0))</f>
        <v>72000</v>
      </c>
      <c r="E7" s="8">
        <f>INDEX([1]Sheet1!$E$1:$E$201,MATCH(Table1[[#This Row],[EmpID]],[1]Sheet1!$A$1:$A$201,0))</f>
        <v>44809</v>
      </c>
      <c r="F7" s="10" t="str">
        <f>INDEX('[1]Sheet5 (2)'!$A$1:$A$201,MATCH(Table1[[#This Row],[EmpID]],'[1]Sheet5 (2)'!$D$1:$D$201,0))</f>
        <v>22 MG Road</v>
      </c>
    </row>
    <row r="8" spans="1:6" x14ac:dyDescent="0.3">
      <c r="A8" s="2" t="s">
        <v>17</v>
      </c>
      <c r="B8" s="1" t="s">
        <v>18</v>
      </c>
      <c r="C8" s="1" t="str">
        <f>INDEX([1]Sheet1!$C$1:$C$201,MATCH(Table1[[#This Row],[EmpID]],[1]Sheet1!$A$1:$A$201,0))</f>
        <v>Legal</v>
      </c>
      <c r="D8" s="1">
        <f>INDEX([1]Sheet1!$D$1:$D$201,MATCH(Table1[[#This Row],[EmpID]],[1]Sheet1!$A$1:$A$201,0))</f>
        <v>50000</v>
      </c>
      <c r="E8" s="8">
        <f>INDEX([1]Sheet1!$E$1:$E$201,MATCH(Table1[[#This Row],[EmpID]],[1]Sheet1!$A$1:$A$201,0))</f>
        <v>43809</v>
      </c>
      <c r="F8" s="10" t="str">
        <f>INDEX('[1]Sheet5 (2)'!$A$1:$A$201,MATCH(Table1[[#This Row],[EmpID]],'[1]Sheet5 (2)'!$D$1:$D$201,0))</f>
        <v>5 Banjara Hills</v>
      </c>
    </row>
    <row r="9" spans="1:6" x14ac:dyDescent="0.3">
      <c r="A9" s="2" t="s">
        <v>19</v>
      </c>
      <c r="B9" s="1" t="s">
        <v>20</v>
      </c>
      <c r="C9" s="1" t="str">
        <f>INDEX([1]Sheet1!$C$1:$C$201,MATCH(Table1[[#This Row],[EmpID]],[1]Sheet1!$A$1:$A$201,0))</f>
        <v>R&amp;D</v>
      </c>
      <c r="D9" s="1">
        <f>INDEX([1]Sheet1!$D$1:$D$201,MATCH(Table1[[#This Row],[EmpID]],[1]Sheet1!$A$1:$A$201,0))</f>
        <v>66000</v>
      </c>
      <c r="E9" s="8">
        <f>INDEX([1]Sheet1!$E$1:$E$201,MATCH(Table1[[#This Row],[EmpID]],[1]Sheet1!$A$1:$A$201,0))</f>
        <v>43886</v>
      </c>
      <c r="F9" s="10" t="str">
        <f>INDEX('[1]Sheet5 (2)'!$A$1:$A$201,MATCH(Table1[[#This Row],[EmpID]],'[1]Sheet5 (2)'!$D$1:$D$201,0))</f>
        <v>3 SG Highway</v>
      </c>
    </row>
    <row r="10" spans="1:6" x14ac:dyDescent="0.3">
      <c r="A10" s="2" t="s">
        <v>21</v>
      </c>
      <c r="B10" s="1" t="s">
        <v>22</v>
      </c>
      <c r="C10" s="1" t="str">
        <f>INDEX([1]Sheet1!$C$1:$C$201,MATCH(Table1[[#This Row],[EmpID]],[1]Sheet1!$A$1:$A$201,0))</f>
        <v>Support</v>
      </c>
      <c r="D10" s="1">
        <f>INDEX([1]Sheet1!$D$1:$D$201,MATCH(Table1[[#This Row],[EmpID]],[1]Sheet1!$A$1:$A$201,0))</f>
        <v>58000</v>
      </c>
      <c r="E10" s="8">
        <f>INDEX([1]Sheet1!$E$1:$E$201,MATCH(Table1[[#This Row],[EmpID]],[1]Sheet1!$A$1:$A$201,0))</f>
        <v>42600</v>
      </c>
      <c r="F10" s="10" t="str">
        <f>INDEX('[1]Sheet5 (2)'!$A$1:$A$201,MATCH(Table1[[#This Row],[EmpID]],'[1]Sheet5 (2)'!$D$1:$D$201,0))</f>
        <v>14 Hazratganj</v>
      </c>
    </row>
    <row r="11" spans="1:6" x14ac:dyDescent="0.3">
      <c r="A11" s="2" t="s">
        <v>23</v>
      </c>
      <c r="B11" s="1" t="s">
        <v>24</v>
      </c>
      <c r="C11" s="1" t="str">
        <f>INDEX([1]Sheet1!$C$1:$C$201,MATCH(Table1[[#This Row],[EmpID]],[1]Sheet1!$A$1:$A$201,0))</f>
        <v>Admin</v>
      </c>
      <c r="D11" s="1">
        <f>INDEX([1]Sheet1!$D$1:$D$201,MATCH(Table1[[#This Row],[EmpID]],[1]Sheet1!$A$1:$A$201,0))</f>
        <v>45000</v>
      </c>
      <c r="E11" s="8">
        <f>INDEX([1]Sheet1!$E$1:$E$201,MATCH(Table1[[#This Row],[EmpID]],[1]Sheet1!$A$1:$A$201,0))</f>
        <v>42146</v>
      </c>
      <c r="F11" s="10" t="str">
        <f>INDEX('[1]Sheet5 (2)'!$A$1:$A$201,MATCH(Table1[[#This Row],[EmpID]],'[1]Sheet5 (2)'!$D$1:$D$201,0))</f>
        <v>9 MI Road</v>
      </c>
    </row>
    <row r="12" spans="1:6" x14ac:dyDescent="0.3">
      <c r="A12" s="2" t="s">
        <v>25</v>
      </c>
      <c r="B12" s="1" t="s">
        <v>26</v>
      </c>
      <c r="C12" s="1" t="str">
        <f>INDEX([1]Sheet1!$C$1:$C$201,MATCH(Table1[[#This Row],[EmpID]],[1]Sheet1!$A$1:$A$201,0))</f>
        <v>Sales</v>
      </c>
      <c r="D12" s="1">
        <f>INDEX([1]Sheet1!$D$1:$D$201,MATCH(Table1[[#This Row],[EmpID]],[1]Sheet1!$A$1:$A$201,0))</f>
        <v>80000</v>
      </c>
      <c r="E12" s="8">
        <f>INDEX([1]Sheet1!$E$1:$E$201,MATCH(Table1[[#This Row],[EmpID]],[1]Sheet1!$A$1:$A$201,0))</f>
        <v>43193</v>
      </c>
      <c r="F12" s="10" t="str">
        <f>INDEX('[1]Sheet5 (2)'!$A$1:$A$201,MATCH(Table1[[#This Row],[EmpID]],'[1]Sheet5 (2)'!$D$1:$D$201,0))</f>
        <v>2 Sector 17</v>
      </c>
    </row>
    <row r="13" spans="1:6" x14ac:dyDescent="0.3">
      <c r="A13" s="2" t="s">
        <v>27</v>
      </c>
      <c r="B13" s="1" t="s">
        <v>28</v>
      </c>
      <c r="C13" s="1" t="str">
        <f>INDEX([1]Sheet1!$C$1:$C$201,MATCH(Table1[[#This Row],[EmpID]],[1]Sheet1!$A$1:$A$201,0))</f>
        <v>HR</v>
      </c>
      <c r="D13" s="1">
        <f>INDEX([1]Sheet1!$D$1:$D$201,MATCH(Table1[[#This Row],[EmpID]],[1]Sheet1!$A$1:$A$201,0))</f>
        <v>54000</v>
      </c>
      <c r="E13" s="8">
        <f>INDEX([1]Sheet1!$E$1:$E$201,MATCH(Table1[[#This Row],[EmpID]],[1]Sheet1!$A$1:$A$201,0))</f>
        <v>42992</v>
      </c>
      <c r="F13" s="10" t="str">
        <f>INDEX('[1]Sheet5 (2)'!$A$1:$A$201,MATCH(Table1[[#This Row],[EmpID]],'[1]Sheet5 (2)'!$D$1:$D$201,0))</f>
        <v>18 Udyog Vihar</v>
      </c>
    </row>
    <row r="14" spans="1:6" x14ac:dyDescent="0.3">
      <c r="A14" s="2" t="s">
        <v>29</v>
      </c>
      <c r="B14" s="1" t="s">
        <v>30</v>
      </c>
      <c r="C14" s="1" t="str">
        <f>INDEX([1]Sheet1!$C$1:$C$201,MATCH(Table1[[#This Row],[EmpID]],[1]Sheet1!$A$1:$A$201,0))</f>
        <v>IT</v>
      </c>
      <c r="D14" s="1">
        <f>INDEX([1]Sheet1!$D$1:$D$201,MATCH(Table1[[#This Row],[EmpID]],[1]Sheet1!$A$1:$A$201,0))</f>
        <v>47000</v>
      </c>
      <c r="E14" s="8">
        <f>INDEX([1]Sheet1!$E$1:$E$201,MATCH(Table1[[#This Row],[EmpID]],[1]Sheet1!$A$1:$A$201,0))</f>
        <v>44502</v>
      </c>
      <c r="F14" s="10" t="str">
        <f>INDEX('[1]Sheet5 (2)'!$A$1:$A$201,MATCH(Table1[[#This Row],[EmpID]],'[1]Sheet5 (2)'!$D$1:$D$201,0))</f>
        <v>7 Sector 18</v>
      </c>
    </row>
    <row r="15" spans="1:6" x14ac:dyDescent="0.3">
      <c r="A15" s="2" t="s">
        <v>31</v>
      </c>
      <c r="B15" s="1" t="s">
        <v>32</v>
      </c>
      <c r="C15" s="1" t="str">
        <f>INDEX([1]Sheet1!$C$1:$C$201,MATCH(Table1[[#This Row],[EmpID]],[1]Sheet1!$A$1:$A$201,0))</f>
        <v>Finance</v>
      </c>
      <c r="D15" s="1">
        <f>INDEX([1]Sheet1!$D$1:$D$201,MATCH(Table1[[#This Row],[EmpID]],[1]Sheet1!$A$1:$A$201,0))</f>
        <v>90000</v>
      </c>
      <c r="E15" s="8">
        <f>INDEX([1]Sheet1!$E$1:$E$201,MATCH(Table1[[#This Row],[EmpID]],[1]Sheet1!$A$1:$A$201,0))</f>
        <v>42396</v>
      </c>
      <c r="F15" s="10" t="str">
        <f>INDEX('[1]Sheet5 (2)'!$A$1:$A$201,MATCH(Table1[[#This Row],[EmpID]],'[1]Sheet5 (2)'!$D$1:$D$201,0))</f>
        <v>33 Raj Nagar</v>
      </c>
    </row>
    <row r="16" spans="1:6" x14ac:dyDescent="0.3">
      <c r="A16" s="2" t="s">
        <v>33</v>
      </c>
      <c r="B16" s="1" t="s">
        <v>34</v>
      </c>
      <c r="C16" s="1" t="str">
        <f>INDEX([1]Sheet1!$C$1:$C$201,MATCH(Table1[[#This Row],[EmpID]],[1]Sheet1!$A$1:$A$201,0))</f>
        <v>Marketing</v>
      </c>
      <c r="D16" s="1">
        <f>INDEX([1]Sheet1!$D$1:$D$201,MATCH(Table1[[#This Row],[EmpID]],[1]Sheet1!$A$1:$A$201,0))</f>
        <v>62000</v>
      </c>
      <c r="E16" s="8">
        <f>INDEX([1]Sheet1!$E$1:$E$201,MATCH(Table1[[#This Row],[EmpID]],[1]Sheet1!$A$1:$A$201,0))</f>
        <v>43635</v>
      </c>
      <c r="F16" s="10" t="str">
        <f>INDEX('[1]Sheet5 (2)'!$A$1:$A$201,MATCH(Table1[[#This Row],[EmpID]],'[1]Sheet5 (2)'!$D$1:$D$201,0))</f>
        <v>56 Sector 15</v>
      </c>
    </row>
    <row r="17" spans="1:6" x14ac:dyDescent="0.3">
      <c r="A17" s="2" t="s">
        <v>35</v>
      </c>
      <c r="B17" s="1" t="s">
        <v>36</v>
      </c>
      <c r="C17" s="1" t="str">
        <f>INDEX([1]Sheet1!$C$1:$C$201,MATCH(Table1[[#This Row],[EmpID]],[1]Sheet1!$A$1:$A$201,0))</f>
        <v>Operations</v>
      </c>
      <c r="D17" s="1">
        <f>INDEX([1]Sheet1!$D$1:$D$201,MATCH(Table1[[#This Row],[EmpID]],[1]Sheet1!$A$1:$A$201,0))</f>
        <v>73000</v>
      </c>
      <c r="E17" s="8">
        <f>INDEX([1]Sheet1!$E$1:$E$201,MATCH(Table1[[#This Row],[EmpID]],[1]Sheet1!$A$1:$A$201,0))</f>
        <v>44112</v>
      </c>
      <c r="F17" s="10" t="str">
        <f>INDEX('[1]Sheet5 (2)'!$A$1:$A$201,MATCH(Table1[[#This Row],[EmpID]],'[1]Sheet5 (2)'!$D$1:$D$201,0))</f>
        <v>11 Civil Lines</v>
      </c>
    </row>
    <row r="18" spans="1:6" x14ac:dyDescent="0.3">
      <c r="A18" s="2" t="s">
        <v>37</v>
      </c>
      <c r="B18" s="1" t="s">
        <v>38</v>
      </c>
      <c r="C18" s="1" t="str">
        <f>INDEX([1]Sheet1!$C$1:$C$201,MATCH(Table1[[#This Row],[EmpID]],[1]Sheet1!$A$1:$A$201,0))</f>
        <v>Legal</v>
      </c>
      <c r="D18" s="1">
        <f>INDEX([1]Sheet1!$D$1:$D$201,MATCH(Table1[[#This Row],[EmpID]],[1]Sheet1!$A$1:$A$201,0))</f>
        <v>56000</v>
      </c>
      <c r="E18" s="8">
        <f>INDEX([1]Sheet1!$E$1:$E$201,MATCH(Table1[[#This Row],[EmpID]],[1]Sheet1!$A$1:$A$201,0))</f>
        <v>42343</v>
      </c>
      <c r="F18" s="10" t="str">
        <f>INDEX('[1]Sheet5 (2)'!$A$1:$A$201,MATCH(Table1[[#This Row],[EmpID]],'[1]Sheet5 (2)'!$D$1:$D$201,0))</f>
        <v>4 Ring Road</v>
      </c>
    </row>
    <row r="19" spans="1:6" x14ac:dyDescent="0.3">
      <c r="A19" s="2" t="s">
        <v>39</v>
      </c>
      <c r="B19" s="1" t="s">
        <v>40</v>
      </c>
      <c r="C19" s="1" t="str">
        <f>INDEX([1]Sheet1!$C$1:$C$201,MATCH(Table1[[#This Row],[EmpID]],[1]Sheet1!$A$1:$A$201,0))</f>
        <v>R&amp;D</v>
      </c>
      <c r="D19" s="1">
        <f>INDEX([1]Sheet1!$D$1:$D$201,MATCH(Table1[[#This Row],[EmpID]],[1]Sheet1!$A$1:$A$201,0))</f>
        <v>67000</v>
      </c>
      <c r="E19" s="8">
        <f>INDEX([1]Sheet1!$E$1:$E$201,MATCH(Table1[[#This Row],[EmpID]],[1]Sheet1!$A$1:$A$201,0))</f>
        <v>43152</v>
      </c>
      <c r="F19" s="10" t="str">
        <f>INDEX('[1]Sheet5 (2)'!$A$1:$A$201,MATCH(Table1[[#This Row],[EmpID]],'[1]Sheet5 (2)'!$D$1:$D$201,0))</f>
        <v>27 Alkapuri</v>
      </c>
    </row>
    <row r="20" spans="1:6" x14ac:dyDescent="0.3">
      <c r="A20" s="2" t="s">
        <v>41</v>
      </c>
      <c r="B20" s="1" t="s">
        <v>42</v>
      </c>
      <c r="C20" s="1" t="str">
        <f>INDEX([1]Sheet1!$C$1:$C$201,MATCH(Table1[[#This Row],[EmpID]],[1]Sheet1!$A$1:$A$201,0))</f>
        <v>Support</v>
      </c>
      <c r="D20" s="1">
        <f>INDEX([1]Sheet1!$D$1:$D$201,MATCH(Table1[[#This Row],[EmpID]],[1]Sheet1!$A$1:$A$201,0))</f>
        <v>71000</v>
      </c>
      <c r="E20" s="8">
        <f>INDEX([1]Sheet1!$E$1:$E$201,MATCH(Table1[[#This Row],[EmpID]],[1]Sheet1!$A$1:$A$201,0))</f>
        <v>44650</v>
      </c>
      <c r="F20" s="10" t="str">
        <f>INDEX('[1]Sheet5 (2)'!$A$1:$A$201,MATCH(Table1[[#This Row],[EmpID]],'[1]Sheet5 (2)'!$D$1:$D$201,0))</f>
        <v>19 Arera Hills</v>
      </c>
    </row>
    <row r="21" spans="1:6" x14ac:dyDescent="0.3">
      <c r="A21" s="2" t="s">
        <v>43</v>
      </c>
      <c r="B21" s="1" t="s">
        <v>44</v>
      </c>
      <c r="C21" s="1" t="str">
        <f>INDEX([1]Sheet1!$C$1:$C$201,MATCH(Table1[[#This Row],[EmpID]],[1]Sheet1!$A$1:$A$201,0))</f>
        <v>Admin</v>
      </c>
      <c r="D21" s="1">
        <f>INDEX([1]Sheet1!$D$1:$D$201,MATCH(Table1[[#This Row],[EmpID]],[1]Sheet1!$A$1:$A$201,0))</f>
        <v>64000</v>
      </c>
      <c r="E21" s="8">
        <f>INDEX([1]Sheet1!$E$1:$E$201,MATCH(Table1[[#This Row],[EmpID]],[1]Sheet1!$A$1:$A$201,0))</f>
        <v>42927</v>
      </c>
      <c r="F21" s="10" t="str">
        <f>INDEX('[1]Sheet5 (2)'!$A$1:$A$201,MATCH(Table1[[#This Row],[EmpID]],'[1]Sheet5 (2)'!$D$1:$D$201,0))</f>
        <v>8 MG Road</v>
      </c>
    </row>
    <row r="22" spans="1:6" x14ac:dyDescent="0.3">
      <c r="A22" s="2" t="s">
        <v>45</v>
      </c>
      <c r="B22" s="1" t="s">
        <v>46</v>
      </c>
      <c r="C22" s="1" t="str">
        <f>INDEX([1]Sheet1!$C$1:$C$201,MATCH(Table1[[#This Row],[EmpID]],[1]Sheet1!$A$1:$A$201,0))</f>
        <v>Sales</v>
      </c>
      <c r="D22" s="1">
        <f>INDEX([1]Sheet1!$D$1:$D$201,MATCH(Table1[[#This Row],[EmpID]],[1]Sheet1!$A$1:$A$201,0))</f>
        <v>52000</v>
      </c>
      <c r="E22" s="8">
        <f>INDEX([1]Sheet1!$E$1:$E$201,MATCH(Table1[[#This Row],[EmpID]],[1]Sheet1!$A$1:$A$201,0))</f>
        <v>43474</v>
      </c>
      <c r="F22" s="10" t="str">
        <f>INDEX('[1]Sheet5 (2)'!$A$1:$A$201,MATCH(Table1[[#This Row],[EmpID]],'[1]Sheet5 (2)'!$D$1:$D$201,0))</f>
        <v>21 Bailey Road</v>
      </c>
    </row>
    <row r="23" spans="1:6" x14ac:dyDescent="0.3">
      <c r="A23" s="2" t="s">
        <v>47</v>
      </c>
      <c r="B23" s="1" t="s">
        <v>48</v>
      </c>
      <c r="C23" s="1" t="str">
        <f>INDEX([1]Sheet1!$C$1:$C$201,MATCH(Table1[[#This Row],[EmpID]],[1]Sheet1!$A$1:$A$201,0))</f>
        <v>HR</v>
      </c>
      <c r="D23" s="1">
        <f>INDEX([1]Sheet1!$D$1:$D$201,MATCH(Table1[[#This Row],[EmpID]],[1]Sheet1!$A$1:$A$201,0))</f>
        <v>48000</v>
      </c>
      <c r="E23" s="8">
        <f>INDEX([1]Sheet1!$E$1:$E$201,MATCH(Table1[[#This Row],[EmpID]],[1]Sheet1!$A$1:$A$201,0))</f>
        <v>43967</v>
      </c>
      <c r="F23" s="10" t="str">
        <f>INDEX('[1]Sheet5 (2)'!$A$1:$A$201,MATCH(Table1[[#This Row],[EmpID]],'[1]Sheet5 (2)'!$D$1:$D$201,0))</f>
        <v>12 Doranda Road</v>
      </c>
    </row>
    <row r="24" spans="1:6" x14ac:dyDescent="0.3">
      <c r="A24" s="2" t="s">
        <v>49</v>
      </c>
      <c r="B24" s="1" t="s">
        <v>50</v>
      </c>
      <c r="C24" s="1" t="str">
        <f>INDEX([1]Sheet1!$C$1:$C$201,MATCH(Table1[[#This Row],[EmpID]],[1]Sheet1!$A$1:$A$201,0))</f>
        <v>IT</v>
      </c>
      <c r="D24" s="1">
        <f>INDEX([1]Sheet1!$D$1:$D$201,MATCH(Table1[[#This Row],[EmpID]],[1]Sheet1!$A$1:$A$201,0))</f>
        <v>75000</v>
      </c>
      <c r="E24" s="8">
        <f>INDEX([1]Sheet1!$E$1:$E$201,MATCH(Table1[[#This Row],[EmpID]],[1]Sheet1!$A$1:$A$201,0))</f>
        <v>43377</v>
      </c>
      <c r="F24" s="10" t="str">
        <f>INDEX('[1]Sheet5 (2)'!$A$1:$A$201,MATCH(Table1[[#This Row],[EmpID]],'[1]Sheet5 (2)'!$D$1:$D$201,0))</f>
        <v>6 Janpath</v>
      </c>
    </row>
    <row r="25" spans="1:6" x14ac:dyDescent="0.3">
      <c r="A25" s="2" t="s">
        <v>51</v>
      </c>
      <c r="B25" s="1" t="s">
        <v>52</v>
      </c>
      <c r="C25" s="1" t="str">
        <f>INDEX([1]Sheet1!$C$1:$C$201,MATCH(Table1[[#This Row],[EmpID]],[1]Sheet1!$A$1:$A$201,0))</f>
        <v>Finance</v>
      </c>
      <c r="D25" s="1">
        <f>INDEX([1]Sheet1!$D$1:$D$201,MATCH(Table1[[#This Row],[EmpID]],[1]Sheet1!$A$1:$A$201,0))</f>
        <v>61000</v>
      </c>
      <c r="E25" s="8">
        <f>INDEX([1]Sheet1!$E$1:$E$201,MATCH(Table1[[#This Row],[EmpID]],[1]Sheet1!$A$1:$A$201,0))</f>
        <v>44247</v>
      </c>
      <c r="F25" s="10" t="str">
        <f>INDEX('[1]Sheet5 (2)'!$A$1:$A$201,MATCH(Table1[[#This Row],[EmpID]],'[1]Sheet5 (2)'!$D$1:$D$201,0))</f>
        <v>44 Avinashi Road</v>
      </c>
    </row>
    <row r="26" spans="1:6" x14ac:dyDescent="0.3">
      <c r="A26" s="2" t="s">
        <v>53</v>
      </c>
      <c r="B26" s="1" t="s">
        <v>54</v>
      </c>
      <c r="C26" s="1" t="str">
        <f>INDEX([1]Sheet1!$C$1:$C$201,MATCH(Table1[[#This Row],[EmpID]],[1]Sheet1!$A$1:$A$201,0))</f>
        <v>Marketing</v>
      </c>
      <c r="D26" s="1">
        <f>INDEX([1]Sheet1!$D$1:$D$201,MATCH(Table1[[#This Row],[EmpID]],[1]Sheet1!$A$1:$A$201,0))</f>
        <v>69000</v>
      </c>
      <c r="E26" s="8">
        <f>INDEX([1]Sheet1!$E$1:$E$201,MATCH(Table1[[#This Row],[EmpID]],[1]Sheet1!$A$1:$A$201,0))</f>
        <v>42976</v>
      </c>
      <c r="F26" s="10" t="str">
        <f>INDEX('[1]Sheet5 (2)'!$A$1:$A$201,MATCH(Table1[[#This Row],[EmpID]],'[1]Sheet5 (2)'!$D$1:$D$201,0))</f>
        <v>3 MG Road</v>
      </c>
    </row>
    <row r="27" spans="1:6" x14ac:dyDescent="0.3">
      <c r="A27" s="2" t="s">
        <v>55</v>
      </c>
      <c r="B27" s="1" t="s">
        <v>56</v>
      </c>
      <c r="C27" s="1" t="str">
        <f>INDEX([1]Sheet1!$C$1:$C$201,MATCH(Table1[[#This Row],[EmpID]],[1]Sheet1!$A$1:$A$201,0))</f>
        <v>Operations</v>
      </c>
      <c r="D27" s="1">
        <f>INDEX([1]Sheet1!$D$1:$D$201,MATCH(Table1[[#This Row],[EmpID]],[1]Sheet1!$A$1:$A$201,0))</f>
        <v>72000</v>
      </c>
      <c r="E27" s="8">
        <f>INDEX([1]Sheet1!$E$1:$E$201,MATCH(Table1[[#This Row],[EmpID]],[1]Sheet1!$A$1:$A$201,0))</f>
        <v>44725</v>
      </c>
      <c r="F27" s="10" t="str">
        <f>INDEX('[1]Sheet5 (2)'!$A$1:$A$201,MATCH(Table1[[#This Row],[EmpID]],'[1]Sheet5 (2)'!$D$1:$D$201,0))</f>
        <v>55 Vazhuthacaud</v>
      </c>
    </row>
    <row r="28" spans="1:6" x14ac:dyDescent="0.3">
      <c r="A28" s="2" t="s">
        <v>57</v>
      </c>
      <c r="B28" s="1" t="s">
        <v>58</v>
      </c>
      <c r="C28" s="1" t="str">
        <f>INDEX([1]Sheet1!$C$1:$C$201,MATCH(Table1[[#This Row],[EmpID]],[1]Sheet1!$A$1:$A$201,0))</f>
        <v>Legal</v>
      </c>
      <c r="D28" s="1">
        <f>INDEX([1]Sheet1!$D$1:$D$201,MATCH(Table1[[#This Row],[EmpID]],[1]Sheet1!$A$1:$A$201,0))</f>
        <v>50000</v>
      </c>
      <c r="E28" s="8">
        <f>INDEX([1]Sheet1!$E$1:$E$201,MATCH(Table1[[#This Row],[EmpID]],[1]Sheet1!$A$1:$A$201,0))</f>
        <v>43776</v>
      </c>
      <c r="F28" s="10" t="str">
        <f>INDEX('[1]Sheet5 (2)'!$A$1:$A$201,MATCH(Table1[[#This Row],[EmpID]],'[1]Sheet5 (2)'!$D$1:$D$201,0))</f>
        <v>9 Nazarbad</v>
      </c>
    </row>
    <row r="29" spans="1:6" x14ac:dyDescent="0.3">
      <c r="A29" s="2" t="s">
        <v>59</v>
      </c>
      <c r="B29" s="1" t="s">
        <v>60</v>
      </c>
      <c r="C29" s="1" t="str">
        <f>INDEX([1]Sheet1!$C$1:$C$201,MATCH(Table1[[#This Row],[EmpID]],[1]Sheet1!$A$1:$A$201,0))</f>
        <v>R&amp;D</v>
      </c>
      <c r="D29" s="1">
        <f>INDEX([1]Sheet1!$D$1:$D$201,MATCH(Table1[[#This Row],[EmpID]],[1]Sheet1!$A$1:$A$201,0))</f>
        <v>66000</v>
      </c>
      <c r="E29" s="8">
        <f>INDEX([1]Sheet1!$E$1:$E$201,MATCH(Table1[[#This Row],[EmpID]],[1]Sheet1!$A$1:$A$201,0))</f>
        <v>43908</v>
      </c>
      <c r="F29" s="10" t="str">
        <f>INDEX('[1]Sheet5 (2)'!$A$1:$A$201,MATCH(Table1[[#This Row],[EmpID]],'[1]Sheet5 (2)'!$D$1:$D$201,0))</f>
        <v>2 Sitabuldi</v>
      </c>
    </row>
    <row r="30" spans="1:6" x14ac:dyDescent="0.3">
      <c r="A30" s="2" t="s">
        <v>61</v>
      </c>
      <c r="B30" s="1" t="s">
        <v>62</v>
      </c>
      <c r="C30" s="1" t="str">
        <f>INDEX([1]Sheet1!$C$1:$C$201,MATCH(Table1[[#This Row],[EmpID]],[1]Sheet1!$A$1:$A$201,0))</f>
        <v>Support</v>
      </c>
      <c r="D30" s="1">
        <f>INDEX([1]Sheet1!$D$1:$D$201,MATCH(Table1[[#This Row],[EmpID]],[1]Sheet1!$A$1:$A$201,0))</f>
        <v>58000</v>
      </c>
      <c r="E30" s="8">
        <f>INDEX([1]Sheet1!$E$1:$E$201,MATCH(Table1[[#This Row],[EmpID]],[1]Sheet1!$A$1:$A$201,0))</f>
        <v>42638</v>
      </c>
      <c r="F30" s="10" t="str">
        <f>INDEX('[1]Sheet5 (2)'!$A$1:$A$201,MATCH(Table1[[#This Row],[EmpID]],'[1]Sheet5 (2)'!$D$1:$D$201,0))</f>
        <v>18 College Road</v>
      </c>
    </row>
    <row r="31" spans="1:6" x14ac:dyDescent="0.3">
      <c r="A31" s="2" t="s">
        <v>63</v>
      </c>
      <c r="B31" s="1" t="s">
        <v>64</v>
      </c>
      <c r="C31" s="1" t="str">
        <f>INDEX([1]Sheet1!$C$1:$C$201,MATCH(Table1[[#This Row],[EmpID]],[1]Sheet1!$A$1:$A$201,0))</f>
        <v>Admin</v>
      </c>
      <c r="D31" s="1">
        <f>INDEX([1]Sheet1!$D$1:$D$201,MATCH(Table1[[#This Row],[EmpID]],[1]Sheet1!$A$1:$A$201,0))</f>
        <v>45000</v>
      </c>
      <c r="E31" s="8">
        <f>INDEX([1]Sheet1!$E$1:$E$201,MATCH(Table1[[#This Row],[EmpID]],[1]Sheet1!$A$1:$A$201,0))</f>
        <v>42108</v>
      </c>
      <c r="F31" s="10" t="str">
        <f>INDEX('[1]Sheet5 (2)'!$A$1:$A$201,MATCH(Table1[[#This Row],[EmpID]],'[1]Sheet5 (2)'!$D$1:$D$201,0))</f>
        <v>7 Sardarpura</v>
      </c>
    </row>
    <row r="32" spans="1:6" x14ac:dyDescent="0.3">
      <c r="A32" s="2" t="s">
        <v>65</v>
      </c>
      <c r="B32" s="1" t="s">
        <v>66</v>
      </c>
      <c r="C32" s="1" t="str">
        <f>INDEX([1]Sheet1!$C$1:$C$201,MATCH(Table1[[#This Row],[EmpID]],[1]Sheet1!$A$1:$A$201,0))</f>
        <v>Sales</v>
      </c>
      <c r="D32" s="1">
        <f>INDEX([1]Sheet1!$D$1:$D$201,MATCH(Table1[[#This Row],[EmpID]],[1]Sheet1!$A$1:$A$201,0))</f>
        <v>80000</v>
      </c>
      <c r="E32" s="8">
        <f>INDEX([1]Sheet1!$E$1:$E$201,MATCH(Table1[[#This Row],[EmpID]],[1]Sheet1!$A$1:$A$201,0))</f>
        <v>43272</v>
      </c>
      <c r="F32" s="10" t="str">
        <f>INDEX('[1]Sheet5 (2)'!$A$1:$A$201,MATCH(Table1[[#This Row],[EmpID]],'[1]Sheet5 (2)'!$D$1:$D$201,0))</f>
        <v>14 Dewali</v>
      </c>
    </row>
    <row r="33" spans="1:6" x14ac:dyDescent="0.3">
      <c r="A33" s="2" t="s">
        <v>67</v>
      </c>
      <c r="B33" s="1" t="s">
        <v>68</v>
      </c>
      <c r="C33" s="1" t="str">
        <f>INDEX([1]Sheet1!$C$1:$C$201,MATCH(Table1[[#This Row],[EmpID]],[1]Sheet1!$A$1:$A$201,0))</f>
        <v>HR</v>
      </c>
      <c r="D33" s="1">
        <f>INDEX([1]Sheet1!$D$1:$D$201,MATCH(Table1[[#This Row],[EmpID]],[1]Sheet1!$A$1:$A$201,0))</f>
        <v>54000</v>
      </c>
      <c r="E33" s="8">
        <f>INDEX([1]Sheet1!$E$1:$E$201,MATCH(Table1[[#This Row],[EmpID]],[1]Sheet1!$A$1:$A$201,0))</f>
        <v>43038</v>
      </c>
      <c r="F33" s="10" t="str">
        <f>INDEX('[1]Sheet5 (2)'!$A$1:$A$201,MATCH(Table1[[#This Row],[EmpID]],'[1]Sheet5 (2)'!$D$1:$D$201,0))</f>
        <v>28 Sanjay Place</v>
      </c>
    </row>
    <row r="34" spans="1:6" x14ac:dyDescent="0.3">
      <c r="A34" s="2" t="s">
        <v>69</v>
      </c>
      <c r="B34" s="1" t="s">
        <v>70</v>
      </c>
      <c r="C34" s="1" t="str">
        <f>INDEX([1]Sheet1!$C$1:$C$201,MATCH(Table1[[#This Row],[EmpID]],[1]Sheet1!$A$1:$A$201,0))</f>
        <v>IT</v>
      </c>
      <c r="D34" s="1">
        <f>INDEX([1]Sheet1!$D$1:$D$201,MATCH(Table1[[#This Row],[EmpID]],[1]Sheet1!$A$1:$A$201,0))</f>
        <v>47000</v>
      </c>
      <c r="E34" s="8">
        <f>INDEX([1]Sheet1!$E$1:$E$201,MATCH(Table1[[#This Row],[EmpID]],[1]Sheet1!$A$1:$A$201,0))</f>
        <v>44542</v>
      </c>
      <c r="F34" s="10" t="str">
        <f>INDEX('[1]Sheet5 (2)'!$A$1:$A$201,MATCH(Table1[[#This Row],[EmpID]],'[1]Sheet5 (2)'!$D$1:$D$201,0))</f>
        <v>10 Lanka Road</v>
      </c>
    </row>
    <row r="35" spans="1:6" x14ac:dyDescent="0.3">
      <c r="A35" s="2" t="s">
        <v>71</v>
      </c>
      <c r="B35" s="1" t="s">
        <v>72</v>
      </c>
      <c r="C35" s="1" t="str">
        <f>INDEX([1]Sheet1!$C$1:$C$201,MATCH(Table1[[#This Row],[EmpID]],[1]Sheet1!$A$1:$A$201,0))</f>
        <v>Finance</v>
      </c>
      <c r="D35" s="1">
        <f>INDEX([1]Sheet1!$D$1:$D$201,MATCH(Table1[[#This Row],[EmpID]],[1]Sheet1!$A$1:$A$201,0))</f>
        <v>90000</v>
      </c>
      <c r="E35" s="8">
        <f>INDEX([1]Sheet1!$E$1:$E$201,MATCH(Table1[[#This Row],[EmpID]],[1]Sheet1!$A$1:$A$201,0))</f>
        <v>42408</v>
      </c>
      <c r="F35" s="10" t="str">
        <f>INDEX('[1]Sheet5 (2)'!$A$1:$A$201,MATCH(Table1[[#This Row],[EmpID]],'[1]Sheet5 (2)'!$D$1:$D$201,0))</f>
        <v>5 Shastri Nagar</v>
      </c>
    </row>
    <row r="36" spans="1:6" x14ac:dyDescent="0.3">
      <c r="A36" s="2" t="s">
        <v>73</v>
      </c>
      <c r="B36" s="1" t="s">
        <v>74</v>
      </c>
      <c r="C36" s="1" t="str">
        <f>INDEX([1]Sheet1!$C$1:$C$201,MATCH(Table1[[#This Row],[EmpID]],[1]Sheet1!$A$1:$A$201,0))</f>
        <v>Marketing</v>
      </c>
      <c r="D36" s="1">
        <f>INDEX([1]Sheet1!$D$1:$D$201,MATCH(Table1[[#This Row],[EmpID]],[1]Sheet1!$A$1:$A$201,0))</f>
        <v>62000</v>
      </c>
      <c r="E36" s="8">
        <f>INDEX([1]Sheet1!$E$1:$E$201,MATCH(Table1[[#This Row],[EmpID]],[1]Sheet1!$A$1:$A$201,0))</f>
        <v>43588</v>
      </c>
      <c r="F36" s="10" t="str">
        <f>INDEX('[1]Sheet5 (2)'!$A$1:$A$201,MATCH(Table1[[#This Row],[EmpID]],'[1]Sheet5 (2)'!$D$1:$D$201,0))</f>
        <v>3 Ferozepur Road</v>
      </c>
    </row>
    <row r="37" spans="1:6" x14ac:dyDescent="0.3">
      <c r="A37" s="2" t="s">
        <v>75</v>
      </c>
      <c r="B37" s="1" t="s">
        <v>76</v>
      </c>
      <c r="C37" s="1" t="str">
        <f>INDEX([1]Sheet1!$C$1:$C$201,MATCH(Table1[[#This Row],[EmpID]],[1]Sheet1!$A$1:$A$201,0))</f>
        <v>Operations</v>
      </c>
      <c r="D37" s="1">
        <f>INDEX([1]Sheet1!$D$1:$D$201,MATCH(Table1[[#This Row],[EmpID]],[1]Sheet1!$A$1:$A$201,0))</f>
        <v>73000</v>
      </c>
      <c r="E37" s="8">
        <f>INDEX([1]Sheet1!$E$1:$E$201,MATCH(Table1[[#This Row],[EmpID]],[1]Sheet1!$A$1:$A$201,0))</f>
        <v>44070</v>
      </c>
      <c r="F37" s="10" t="str">
        <f>INDEX('[1]Sheet5 (2)'!$A$1:$A$201,MATCH(Table1[[#This Row],[EmpID]],'[1]Sheet5 (2)'!$D$1:$D$201,0))</f>
        <v>12 Lawrence Road</v>
      </c>
    </row>
    <row r="38" spans="1:6" x14ac:dyDescent="0.3">
      <c r="A38" s="2" t="s">
        <v>77</v>
      </c>
      <c r="B38" s="1" t="s">
        <v>78</v>
      </c>
      <c r="C38" s="1" t="str">
        <f>INDEX([1]Sheet1!$C$1:$C$201,MATCH(Table1[[#This Row],[EmpID]],[1]Sheet1!$A$1:$A$201,0))</f>
        <v>Legal</v>
      </c>
      <c r="D38" s="1">
        <f>INDEX([1]Sheet1!$D$1:$D$201,MATCH(Table1[[#This Row],[EmpID]],[1]Sheet1!$A$1:$A$201,0))</f>
        <v>56000</v>
      </c>
      <c r="E38" s="8">
        <f>INDEX([1]Sheet1!$E$1:$E$201,MATCH(Table1[[#This Row],[EmpID]],[1]Sheet1!$A$1:$A$201,0))</f>
        <v>42324</v>
      </c>
      <c r="F38" s="10" t="str">
        <f>INDEX('[1]Sheet5 (2)'!$A$1:$A$201,MATCH(Table1[[#This Row],[EmpID]],'[1]Sheet5 (2)'!$D$1:$D$201,0))</f>
        <v>9 Model Town</v>
      </c>
    </row>
    <row r="39" spans="1:6" x14ac:dyDescent="0.3">
      <c r="A39" s="2" t="s">
        <v>79</v>
      </c>
      <c r="B39" s="1" t="s">
        <v>80</v>
      </c>
      <c r="C39" s="1" t="str">
        <f>INDEX([1]Sheet1!$C$1:$C$201,MATCH(Table1[[#This Row],[EmpID]],[1]Sheet1!$A$1:$A$201,0))</f>
        <v>R&amp;D</v>
      </c>
      <c r="D39" s="1">
        <f>INDEX([1]Sheet1!$D$1:$D$201,MATCH(Table1[[#This Row],[EmpID]],[1]Sheet1!$A$1:$A$201,0))</f>
        <v>67000</v>
      </c>
      <c r="E39" s="8">
        <f>INDEX([1]Sheet1!$E$1:$E$201,MATCH(Table1[[#This Row],[EmpID]],[1]Sheet1!$A$1:$A$201,0))</f>
        <v>43105</v>
      </c>
      <c r="F39" s="10" t="str">
        <f>INDEX('[1]Sheet5 (2)'!$A$1:$A$201,MATCH(Table1[[#This Row],[EmpID]],'[1]Sheet5 (2)'!$D$1:$D$201,0))</f>
        <v>21 Rajpur Road</v>
      </c>
    </row>
    <row r="40" spans="1:6" x14ac:dyDescent="0.3">
      <c r="A40" s="2" t="s">
        <v>81</v>
      </c>
      <c r="B40" s="1" t="s">
        <v>82</v>
      </c>
      <c r="C40" s="1" t="str">
        <f>INDEX([1]Sheet1!$C$1:$C$201,MATCH(Table1[[#This Row],[EmpID]],[1]Sheet1!$A$1:$A$201,0))</f>
        <v>Support</v>
      </c>
      <c r="D40" s="1">
        <f>INDEX([1]Sheet1!$D$1:$D$201,MATCH(Table1[[#This Row],[EmpID]],[1]Sheet1!$A$1:$A$201,0))</f>
        <v>71000</v>
      </c>
      <c r="E40" s="8">
        <f>INDEX([1]Sheet1!$E$1:$E$201,MATCH(Table1[[#This Row],[EmpID]],[1]Sheet1!$A$1:$A$201,0))</f>
        <v>44673</v>
      </c>
      <c r="F40" s="10" t="str">
        <f>INDEX('[1]Sheet5 (2)'!$A$1:$A$201,MATCH(Table1[[#This Row],[EmpID]],'[1]Sheet5 (2)'!$D$1:$D$201,0))</f>
        <v>6 The Mall</v>
      </c>
    </row>
    <row r="41" spans="1:6" x14ac:dyDescent="0.3">
      <c r="A41" s="2" t="s">
        <v>83</v>
      </c>
      <c r="B41" s="1" t="s">
        <v>84</v>
      </c>
      <c r="C41" s="1" t="str">
        <f>INDEX([1]Sheet1!$C$1:$C$201,MATCH(Table1[[#This Row],[EmpID]],[1]Sheet1!$A$1:$A$201,0))</f>
        <v>Admin</v>
      </c>
      <c r="D41" s="1">
        <f>INDEX([1]Sheet1!$D$1:$D$201,MATCH(Table1[[#This Row],[EmpID]],[1]Sheet1!$A$1:$A$201,0))</f>
        <v>64000</v>
      </c>
      <c r="E41" s="8">
        <f>INDEX([1]Sheet1!$E$1:$E$201,MATCH(Table1[[#This Row],[EmpID]],[1]Sheet1!$A$1:$A$201,0))</f>
        <v>42803</v>
      </c>
      <c r="F41" s="10" t="str">
        <f>INDEX('[1]Sheet5 (2)'!$A$1:$A$201,MATCH(Table1[[#This Row],[EmpID]],'[1]Sheet5 (2)'!$D$1:$D$201,0))</f>
        <v>11 Lal Chowk</v>
      </c>
    </row>
    <row r="42" spans="1:6" x14ac:dyDescent="0.3">
      <c r="A42" s="2" t="s">
        <v>85</v>
      </c>
      <c r="B42" s="1" t="s">
        <v>86</v>
      </c>
      <c r="C42" s="1" t="str">
        <f>INDEX([1]Sheet1!$C$1:$C$201,MATCH(Table1[[#This Row],[EmpID]],[1]Sheet1!$A$1:$A$201,0))</f>
        <v>Sales</v>
      </c>
      <c r="D42" s="1">
        <f>INDEX([1]Sheet1!$D$1:$D$201,MATCH(Table1[[#This Row],[EmpID]],[1]Sheet1!$A$1:$A$201,0))</f>
        <v>52000</v>
      </c>
      <c r="E42" s="8">
        <f>INDEX([1]Sheet1!$E$1:$E$201,MATCH(Table1[[#This Row],[EmpID]],[1]Sheet1!$A$1:$A$201,0))</f>
        <v>43674</v>
      </c>
      <c r="F42" s="10" t="str">
        <f>INDEX('[1]Sheet5 (2)'!$A$1:$A$201,MATCH(Table1[[#This Row],[EmpID]],'[1]Sheet5 (2)'!$D$1:$D$201,0))</f>
        <v>8 GS Road</v>
      </c>
    </row>
    <row r="43" spans="1:6" x14ac:dyDescent="0.3">
      <c r="A43" s="2" t="s">
        <v>87</v>
      </c>
      <c r="B43" s="1" t="s">
        <v>88</v>
      </c>
      <c r="C43" s="1" t="str">
        <f>INDEX([1]Sheet1!$C$1:$C$201,MATCH(Table1[[#This Row],[EmpID]],[1]Sheet1!$A$1:$A$201,0))</f>
        <v>HR</v>
      </c>
      <c r="D43" s="1">
        <f>INDEX([1]Sheet1!$D$1:$D$201,MATCH(Table1[[#This Row],[EmpID]],[1]Sheet1!$A$1:$A$201,0))</f>
        <v>48000</v>
      </c>
      <c r="E43" s="8">
        <f>INDEX([1]Sheet1!$E$1:$E$201,MATCH(Table1[[#This Row],[EmpID]],[1]Sheet1!$A$1:$A$201,0))</f>
        <v>44141</v>
      </c>
      <c r="F43" s="10" t="str">
        <f>INDEX('[1]Sheet5 (2)'!$A$1:$A$201,MATCH(Table1[[#This Row],[EmpID]],'[1]Sheet5 (2)'!$D$1:$D$201,0))</f>
        <v>4 Thangal Bazar</v>
      </c>
    </row>
    <row r="44" spans="1:6" x14ac:dyDescent="0.3">
      <c r="A44" s="2" t="s">
        <v>89</v>
      </c>
      <c r="B44" s="1" t="s">
        <v>90</v>
      </c>
      <c r="C44" s="1" t="str">
        <f>INDEX([1]Sheet1!$C$1:$C$201,MATCH(Table1[[#This Row],[EmpID]],[1]Sheet1!$A$1:$A$201,0))</f>
        <v>IT</v>
      </c>
      <c r="D44" s="1">
        <f>INDEX([1]Sheet1!$D$1:$D$201,MATCH(Table1[[#This Row],[EmpID]],[1]Sheet1!$A$1:$A$201,0))</f>
        <v>75000</v>
      </c>
      <c r="E44" s="8">
        <f>INDEX([1]Sheet1!$E$1:$E$201,MATCH(Table1[[#This Row],[EmpID]],[1]Sheet1!$A$1:$A$201,0))</f>
        <v>43237</v>
      </c>
      <c r="F44" s="10" t="str">
        <f>INDEX('[1]Sheet5 (2)'!$A$1:$A$201,MATCH(Table1[[#This Row],[EmpID]],'[1]Sheet5 (2)'!$D$1:$D$201,0))</f>
        <v>2 VIP Road</v>
      </c>
    </row>
    <row r="45" spans="1:6" x14ac:dyDescent="0.3">
      <c r="A45" s="2" t="s">
        <v>91</v>
      </c>
      <c r="B45" s="1" t="s">
        <v>92</v>
      </c>
      <c r="C45" s="1" t="str">
        <f>INDEX([1]Sheet1!$C$1:$C$201,MATCH(Table1[[#This Row],[EmpID]],[1]Sheet1!$A$1:$A$201,0))</f>
        <v>Finance</v>
      </c>
      <c r="D45" s="1">
        <f>INDEX([1]Sheet1!$D$1:$D$201,MATCH(Table1[[#This Row],[EmpID]],[1]Sheet1!$A$1:$A$201,0))</f>
        <v>61000</v>
      </c>
      <c r="E45" s="8">
        <f>INDEX([1]Sheet1!$E$1:$E$201,MATCH(Table1[[#This Row],[EmpID]],[1]Sheet1!$A$1:$A$201,0))</f>
        <v>44440</v>
      </c>
      <c r="F45" s="10" t="str">
        <f>INDEX('[1]Sheet5 (2)'!$A$1:$A$201,MATCH(Table1[[#This Row],[EmpID]],'[1]Sheet5 (2)'!$D$1:$D$201,0))</f>
        <v>7 Kohima Road</v>
      </c>
    </row>
    <row r="46" spans="1:6" x14ac:dyDescent="0.3">
      <c r="A46" s="2" t="s">
        <v>93</v>
      </c>
      <c r="B46" s="1" t="s">
        <v>94</v>
      </c>
      <c r="C46" s="1" t="str">
        <f>INDEX([1]Sheet1!$C$1:$C$201,MATCH(Table1[[#This Row],[EmpID]],[1]Sheet1!$A$1:$A$201,0))</f>
        <v>Marketing</v>
      </c>
      <c r="D46" s="1">
        <f>INDEX([1]Sheet1!$D$1:$D$201,MATCH(Table1[[#This Row],[EmpID]],[1]Sheet1!$A$1:$A$201,0))</f>
        <v>69000</v>
      </c>
      <c r="E46" s="8">
        <f>INDEX([1]Sheet1!$E$1:$E$201,MATCH(Table1[[#This Row],[EmpID]],[1]Sheet1!$A$1:$A$201,0))</f>
        <v>42779</v>
      </c>
      <c r="F46" s="10" t="str">
        <f>INDEX('[1]Sheet5 (2)'!$A$1:$A$201,MATCH(Table1[[#This Row],[EmpID]],'[1]Sheet5 (2)'!$D$1:$D$201,0))</f>
        <v>15 Zarkawt</v>
      </c>
    </row>
    <row r="47" spans="1:6" x14ac:dyDescent="0.3">
      <c r="A47" s="2" t="s">
        <v>95</v>
      </c>
      <c r="B47" s="1" t="s">
        <v>96</v>
      </c>
      <c r="C47" s="1" t="str">
        <f>INDEX([1]Sheet1!$C$1:$C$201,MATCH(Table1[[#This Row],[EmpID]],[1]Sheet1!$A$1:$A$201,0))</f>
        <v>Operations</v>
      </c>
      <c r="D47" s="1">
        <f>INDEX([1]Sheet1!$D$1:$D$201,MATCH(Table1[[#This Row],[EmpID]],[1]Sheet1!$A$1:$A$201,0))</f>
        <v>72000</v>
      </c>
      <c r="E47" s="8">
        <f>INDEX([1]Sheet1!$E$1:$E$201,MATCH(Table1[[#This Row],[EmpID]],[1]Sheet1!$A$1:$A$201,0))</f>
        <v>44914</v>
      </c>
      <c r="F47" s="10" t="str">
        <f>INDEX('[1]Sheet5 (2)'!$A$1:$A$201,MATCH(Table1[[#This Row],[EmpID]],'[1]Sheet5 (2)'!$D$1:$D$201,0))</f>
        <v>9 Aberdeen Bazaar</v>
      </c>
    </row>
    <row r="48" spans="1:6" x14ac:dyDescent="0.3">
      <c r="A48" s="2" t="s">
        <v>97</v>
      </c>
      <c r="B48" s="1" t="s">
        <v>98</v>
      </c>
      <c r="C48" s="1" t="str">
        <f>INDEX([1]Sheet1!$C$1:$C$201,MATCH(Table1[[#This Row],[EmpID]],[1]Sheet1!$A$1:$A$201,0))</f>
        <v>Legal</v>
      </c>
      <c r="D48" s="1">
        <f>INDEX([1]Sheet1!$D$1:$D$201,MATCH(Table1[[#This Row],[EmpID]],[1]Sheet1!$A$1:$A$201,0))</f>
        <v>50000</v>
      </c>
      <c r="E48" s="8">
        <f>INDEX([1]Sheet1!$E$1:$E$201,MATCH(Table1[[#This Row],[EmpID]],[1]Sheet1!$A$1:$A$201,0))</f>
        <v>43701</v>
      </c>
      <c r="F48" s="10" t="str">
        <f>INDEX('[1]Sheet5 (2)'!$A$1:$A$201,MATCH(Table1[[#This Row],[EmpID]],'[1]Sheet5 (2)'!$D$1:$D$201,0))</f>
        <v>33 MG Road</v>
      </c>
    </row>
    <row r="49" spans="1:6" x14ac:dyDescent="0.3">
      <c r="A49" s="2" t="s">
        <v>99</v>
      </c>
      <c r="B49" s="1" t="s">
        <v>100</v>
      </c>
      <c r="C49" s="1" t="str">
        <f>INDEX([1]Sheet1!$C$1:$C$201,MATCH(Table1[[#This Row],[EmpID]],[1]Sheet1!$A$1:$A$201,0))</f>
        <v>R&amp;D</v>
      </c>
      <c r="D49" s="1">
        <f>INDEX([1]Sheet1!$D$1:$D$201,MATCH(Table1[[#This Row],[EmpID]],[1]Sheet1!$A$1:$A$201,0))</f>
        <v>66000</v>
      </c>
      <c r="E49" s="8">
        <f>INDEX([1]Sheet1!$E$1:$E$201,MATCH(Table1[[#This Row],[EmpID]],[1]Sheet1!$A$1:$A$201,0))</f>
        <v>43837</v>
      </c>
      <c r="F49" s="10" t="str">
        <f>INDEX('[1]Sheet5 (2)'!$A$1:$A$201,MATCH(Table1[[#This Row],[EmpID]],'[1]Sheet5 (2)'!$D$1:$D$201,0))</f>
        <v>27 Park Street</v>
      </c>
    </row>
    <row r="50" spans="1:6" x14ac:dyDescent="0.3">
      <c r="A50" s="2" t="s">
        <v>101</v>
      </c>
      <c r="B50" s="1" t="s">
        <v>102</v>
      </c>
      <c r="C50" s="1" t="str">
        <f>INDEX([1]Sheet1!$C$1:$C$201,MATCH(Table1[[#This Row],[EmpID]],[1]Sheet1!$A$1:$A$201,0))</f>
        <v>Support</v>
      </c>
      <c r="D50" s="1">
        <f>INDEX([1]Sheet1!$D$1:$D$201,MATCH(Table1[[#This Row],[EmpID]],[1]Sheet1!$A$1:$A$201,0))</f>
        <v>58000</v>
      </c>
      <c r="E50" s="8">
        <f>INDEX([1]Sheet1!$E$1:$E$201,MATCH(Table1[[#This Row],[EmpID]],[1]Sheet1!$A$1:$A$201,0))</f>
        <v>42523</v>
      </c>
      <c r="F50" s="10" t="str">
        <f>INDEX('[1]Sheet5 (2)'!$A$1:$A$201,MATCH(Table1[[#This Row],[EmpID]],'[1]Sheet5 (2)'!$D$1:$D$201,0))</f>
        <v>18 Church Street</v>
      </c>
    </row>
    <row r="51" spans="1:6" x14ac:dyDescent="0.3">
      <c r="A51" s="2" t="s">
        <v>103</v>
      </c>
      <c r="B51" s="1" t="s">
        <v>104</v>
      </c>
      <c r="C51" s="1" t="str">
        <f>INDEX([1]Sheet1!$C$1:$C$201,MATCH(Table1[[#This Row],[EmpID]],[1]Sheet1!$A$1:$A$201,0))</f>
        <v>Admin</v>
      </c>
      <c r="D51" s="1">
        <f>INDEX([1]Sheet1!$D$1:$D$201,MATCH(Table1[[#This Row],[EmpID]],[1]Sheet1!$A$1:$A$201,0))</f>
        <v>45000</v>
      </c>
      <c r="E51" s="8">
        <f>INDEX([1]Sheet1!$E$1:$E$201,MATCH(Table1[[#This Row],[EmpID]],[1]Sheet1!$A$1:$A$201,0))</f>
        <v>42308</v>
      </c>
      <c r="F51" s="10" t="str">
        <f>INDEX('[1]Sheet5 (2)'!$A$1:$A$201,MATCH(Table1[[#This Row],[EmpID]],'[1]Sheet5 (2)'!$D$1:$D$201,0))</f>
        <v>44 T Nagar</v>
      </c>
    </row>
    <row r="52" spans="1:6" x14ac:dyDescent="0.3">
      <c r="A52" s="2" t="s">
        <v>105</v>
      </c>
      <c r="B52" s="1" t="s">
        <v>106</v>
      </c>
      <c r="C52" s="1" t="str">
        <f>INDEX([1]Sheet1!$C$1:$C$201,MATCH(Table1[[#This Row],[EmpID]],[1]Sheet1!$A$1:$A$201,0))</f>
        <v>Sales</v>
      </c>
      <c r="D52" s="1">
        <f>INDEX([1]Sheet1!$D$1:$D$201,MATCH(Table1[[#This Row],[EmpID]],[1]Sheet1!$A$1:$A$201,0))</f>
        <v>80000</v>
      </c>
      <c r="E52" s="8">
        <f>INDEX([1]Sheet1!$E$1:$E$201,MATCH(Table1[[#This Row],[EmpID]],[1]Sheet1!$A$1:$A$201,0))</f>
        <v>43354</v>
      </c>
      <c r="F52" s="10" t="str">
        <f>INDEX('[1]Sheet5 (2)'!$A$1:$A$201,MATCH(Table1[[#This Row],[EmpID]],'[1]Sheet5 (2)'!$D$1:$D$201,0))</f>
        <v>66 Colaba Causeway</v>
      </c>
    </row>
    <row r="53" spans="1:6" x14ac:dyDescent="0.3">
      <c r="A53" s="2" t="s">
        <v>107</v>
      </c>
      <c r="B53" s="1" t="s">
        <v>108</v>
      </c>
      <c r="C53" s="1" t="str">
        <f>INDEX([1]Sheet1!$C$1:$C$201,MATCH(Table1[[#This Row],[EmpID]],[1]Sheet1!$A$1:$A$201,0))</f>
        <v>HR</v>
      </c>
      <c r="D53" s="1">
        <f>INDEX([1]Sheet1!$D$1:$D$201,MATCH(Table1[[#This Row],[EmpID]],[1]Sheet1!$A$1:$A$201,0))</f>
        <v>54000</v>
      </c>
      <c r="E53" s="8">
        <f>INDEX([1]Sheet1!$E$1:$E$201,MATCH(Table1[[#This Row],[EmpID]],[1]Sheet1!$A$1:$A$201,0))</f>
        <v>42757</v>
      </c>
      <c r="F53" s="10" t="str">
        <f>INDEX('[1]Sheet5 (2)'!$A$1:$A$201,MATCH(Table1[[#This Row],[EmpID]],'[1]Sheet5 (2)'!$D$1:$D$201,0))</f>
        <v>12 Koregaon Park</v>
      </c>
    </row>
    <row r="54" spans="1:6" x14ac:dyDescent="0.3">
      <c r="A54" s="2" t="s">
        <v>109</v>
      </c>
      <c r="B54" s="1" t="s">
        <v>110</v>
      </c>
      <c r="C54" s="1" t="str">
        <f>INDEX([1]Sheet1!$C$1:$C$201,MATCH(Table1[[#This Row],[EmpID]],[1]Sheet1!$A$1:$A$201,0))</f>
        <v>IT</v>
      </c>
      <c r="D54" s="1">
        <f>INDEX([1]Sheet1!$D$1:$D$201,MATCH(Table1[[#This Row],[EmpID]],[1]Sheet1!$A$1:$A$201,0))</f>
        <v>47000</v>
      </c>
      <c r="E54" s="8">
        <f>INDEX([1]Sheet1!$E$1:$E$201,MATCH(Table1[[#This Row],[EmpID]],[1]Sheet1!$A$1:$A$201,0))</f>
        <v>44269</v>
      </c>
      <c r="F54" s="10" t="str">
        <f>INDEX('[1]Sheet5 (2)'!$A$1:$A$201,MATCH(Table1[[#This Row],[EmpID]],'[1]Sheet5 (2)'!$D$1:$D$201,0))</f>
        <v>5 Banjara Hills</v>
      </c>
    </row>
    <row r="55" spans="1:6" x14ac:dyDescent="0.3">
      <c r="A55" s="2" t="s">
        <v>111</v>
      </c>
      <c r="B55" s="1" t="s">
        <v>112</v>
      </c>
      <c r="C55" s="1" t="str">
        <f>INDEX([1]Sheet1!$C$1:$C$201,MATCH(Table1[[#This Row],[EmpID]],[1]Sheet1!$A$1:$A$201,0))</f>
        <v>Finance</v>
      </c>
      <c r="D55" s="1">
        <f>INDEX([1]Sheet1!$D$1:$D$201,MATCH(Table1[[#This Row],[EmpID]],[1]Sheet1!$A$1:$A$201,0))</f>
        <v>90000</v>
      </c>
      <c r="E55" s="8">
        <f>INDEX([1]Sheet1!$E$1:$E$201,MATCH(Table1[[#This Row],[EmpID]],[1]Sheet1!$A$1:$A$201,0))</f>
        <v>42556</v>
      </c>
      <c r="F55" s="10" t="str">
        <f>INDEX('[1]Sheet5 (2)'!$A$1:$A$201,MATCH(Table1[[#This Row],[EmpID]],'[1]Sheet5 (2)'!$D$1:$D$201,0))</f>
        <v>8 CG Road</v>
      </c>
    </row>
    <row r="56" spans="1:6" x14ac:dyDescent="0.3">
      <c r="A56" s="2" t="s">
        <v>113</v>
      </c>
      <c r="B56" s="1" t="s">
        <v>114</v>
      </c>
      <c r="C56" s="1" t="str">
        <f>INDEX([1]Sheet1!$C$1:$C$201,MATCH(Table1[[#This Row],[EmpID]],[1]Sheet1!$A$1:$A$201,0))</f>
        <v>Marketing</v>
      </c>
      <c r="D56" s="1">
        <f>INDEX([1]Sheet1!$D$1:$D$201,MATCH(Table1[[#This Row],[EmpID]],[1]Sheet1!$A$1:$A$201,0))</f>
        <v>62000</v>
      </c>
      <c r="E56" s="8">
        <f>INDEX([1]Sheet1!$E$1:$E$201,MATCH(Table1[[#This Row],[EmpID]],[1]Sheet1!$A$1:$A$201,0))</f>
        <v>43764</v>
      </c>
      <c r="F56" s="10" t="str">
        <f>INDEX('[1]Sheet5 (2)'!$A$1:$A$201,MATCH(Table1[[#This Row],[EmpID]],'[1]Sheet5 (2)'!$D$1:$D$201,0))</f>
        <v>20 Hazratganj</v>
      </c>
    </row>
    <row r="57" spans="1:6" x14ac:dyDescent="0.3">
      <c r="A57" s="2" t="s">
        <v>115</v>
      </c>
      <c r="B57" s="1" t="s">
        <v>116</v>
      </c>
      <c r="C57" s="1" t="str">
        <f>INDEX([1]Sheet1!$C$1:$C$201,MATCH(Table1[[#This Row],[EmpID]],[1]Sheet1!$A$1:$A$201,0))</f>
        <v>Operations</v>
      </c>
      <c r="D57" s="1">
        <f>INDEX([1]Sheet1!$D$1:$D$201,MATCH(Table1[[#This Row],[EmpID]],[1]Sheet1!$A$1:$A$201,0))</f>
        <v>73000</v>
      </c>
      <c r="E57" s="8">
        <f>INDEX([1]Sheet1!$E$1:$E$201,MATCH(Table1[[#This Row],[EmpID]],[1]Sheet1!$A$1:$A$201,0))</f>
        <v>43863</v>
      </c>
      <c r="F57" s="10" t="str">
        <f>INDEX('[1]Sheet5 (2)'!$A$1:$A$201,MATCH(Table1[[#This Row],[EmpID]],'[1]Sheet5 (2)'!$D$1:$D$201,0))</f>
        <v>3 MI Road</v>
      </c>
    </row>
    <row r="58" spans="1:6" x14ac:dyDescent="0.3">
      <c r="A58" s="2" t="s">
        <v>117</v>
      </c>
      <c r="B58" s="1" t="s">
        <v>118</v>
      </c>
      <c r="C58" s="1" t="str">
        <f>INDEX([1]Sheet1!$C$1:$C$201,MATCH(Table1[[#This Row],[EmpID]],[1]Sheet1!$A$1:$A$201,0))</f>
        <v>Legal</v>
      </c>
      <c r="D58" s="1">
        <f>INDEX([1]Sheet1!$D$1:$D$201,MATCH(Table1[[#This Row],[EmpID]],[1]Sheet1!$A$1:$A$201,0))</f>
        <v>56000</v>
      </c>
      <c r="E58" s="8">
        <f>INDEX([1]Sheet1!$E$1:$E$201,MATCH(Table1[[#This Row],[EmpID]],[1]Sheet1!$A$1:$A$201,0))</f>
        <v>42173</v>
      </c>
      <c r="F58" s="10" t="str">
        <f>INDEX('[1]Sheet5 (2)'!$A$1:$A$201,MATCH(Table1[[#This Row],[EmpID]],'[1]Sheet5 (2)'!$D$1:$D$201,0))</f>
        <v>11 Sector 17</v>
      </c>
    </row>
    <row r="59" spans="1:6" x14ac:dyDescent="0.3">
      <c r="A59" s="2" t="s">
        <v>119</v>
      </c>
      <c r="B59" s="1" t="s">
        <v>120</v>
      </c>
      <c r="C59" s="1" t="str">
        <f>INDEX([1]Sheet1!$C$1:$C$201,MATCH(Table1[[#This Row],[EmpID]],[1]Sheet1!$A$1:$A$201,0))</f>
        <v>R&amp;D</v>
      </c>
      <c r="D59" s="1">
        <f>INDEX([1]Sheet1!$D$1:$D$201,MATCH(Table1[[#This Row],[EmpID]],[1]Sheet1!$A$1:$A$201,0))</f>
        <v>67000</v>
      </c>
      <c r="E59" s="8">
        <f>INDEX([1]Sheet1!$E$1:$E$201,MATCH(Table1[[#This Row],[EmpID]],[1]Sheet1!$A$1:$A$201,0))</f>
        <v>43443</v>
      </c>
      <c r="F59" s="10" t="str">
        <f>INDEX('[1]Sheet5 (2)'!$A$1:$A$201,MATCH(Table1[[#This Row],[EmpID]],'[1]Sheet5 (2)'!$D$1:$D$201,0))</f>
        <v>29 Udyog Vihar</v>
      </c>
    </row>
    <row r="60" spans="1:6" x14ac:dyDescent="0.3">
      <c r="A60" s="2" t="s">
        <v>121</v>
      </c>
      <c r="B60" s="1" t="s">
        <v>122</v>
      </c>
      <c r="C60" s="1" t="str">
        <f>INDEX([1]Sheet1!$C$1:$C$201,MATCH(Table1[[#This Row],[EmpID]],[1]Sheet1!$A$1:$A$201,0))</f>
        <v>Support</v>
      </c>
      <c r="D60" s="1">
        <f>INDEX([1]Sheet1!$D$1:$D$201,MATCH(Table1[[#This Row],[EmpID]],[1]Sheet1!$A$1:$A$201,0))</f>
        <v>71000</v>
      </c>
      <c r="E60" s="8">
        <f>INDEX([1]Sheet1!$E$1:$E$201,MATCH(Table1[[#This Row],[EmpID]],[1]Sheet1!$A$1:$A$201,0))</f>
        <v>44581</v>
      </c>
      <c r="F60" s="10" t="str">
        <f>INDEX('[1]Sheet5 (2)'!$A$1:$A$201,MATCH(Table1[[#This Row],[EmpID]],'[1]Sheet5 (2)'!$D$1:$D$201,0))</f>
        <v>14 Sector 62</v>
      </c>
    </row>
    <row r="61" spans="1:6" x14ac:dyDescent="0.3">
      <c r="A61" s="2" t="s">
        <v>123</v>
      </c>
      <c r="B61" s="1" t="s">
        <v>124</v>
      </c>
      <c r="C61" s="1" t="str">
        <f>INDEX([1]Sheet1!$C$1:$C$201,MATCH(Table1[[#This Row],[EmpID]],[1]Sheet1!$A$1:$A$201,0))</f>
        <v>Admin</v>
      </c>
      <c r="D61" s="1">
        <f>INDEX([1]Sheet1!$D$1:$D$201,MATCH(Table1[[#This Row],[EmpID]],[1]Sheet1!$A$1:$A$201,0))</f>
        <v>64000</v>
      </c>
      <c r="E61" s="8">
        <f>INDEX([1]Sheet1!$E$1:$E$201,MATCH(Table1[[#This Row],[EmpID]],[1]Sheet1!$A$1:$A$201,0))</f>
        <v>43068</v>
      </c>
      <c r="F61" s="10" t="str">
        <f>INDEX('[1]Sheet5 (2)'!$A$1:$A$201,MATCH(Table1[[#This Row],[EmpID]],'[1]Sheet5 (2)'!$D$1:$D$201,0))</f>
        <v>2 Indirapuram</v>
      </c>
    </row>
    <row r="62" spans="1:6" x14ac:dyDescent="0.3">
      <c r="A62" s="2" t="s">
        <v>125</v>
      </c>
      <c r="B62" s="1" t="s">
        <v>126</v>
      </c>
      <c r="C62" s="1" t="str">
        <f>INDEX([1]Sheet1!$C$1:$C$201,MATCH(Table1[[#This Row],[EmpID]],[1]Sheet1!$A$1:$A$201,0))</f>
        <v>Sales</v>
      </c>
      <c r="D62" s="1">
        <f>INDEX([1]Sheet1!$D$1:$D$201,MATCH(Table1[[#This Row],[EmpID]],[1]Sheet1!$A$1:$A$201,0))</f>
        <v>52000</v>
      </c>
      <c r="E62" s="8">
        <f>INDEX([1]Sheet1!$E$1:$E$201,MATCH(Table1[[#This Row],[EmpID]],[1]Sheet1!$A$1:$A$201,0))</f>
        <v>43502</v>
      </c>
      <c r="F62" s="10" t="str">
        <f>INDEX('[1]Sheet5 (2)'!$A$1:$A$201,MATCH(Table1[[#This Row],[EmpID]],'[1]Sheet5 (2)'!$D$1:$D$201,0))</f>
        <v>9 Sector 15</v>
      </c>
    </row>
    <row r="63" spans="1:6" x14ac:dyDescent="0.3">
      <c r="A63" s="2" t="s">
        <v>127</v>
      </c>
      <c r="B63" s="1" t="s">
        <v>128</v>
      </c>
      <c r="C63" s="1" t="str">
        <f>INDEX([1]Sheet1!$C$1:$C$201,MATCH(Table1[[#This Row],[EmpID]],[1]Sheet1!$A$1:$A$201,0))</f>
        <v>HR</v>
      </c>
      <c r="D63" s="1">
        <f>INDEX([1]Sheet1!$D$1:$D$201,MATCH(Table1[[#This Row],[EmpID]],[1]Sheet1!$A$1:$A$201,0))</f>
        <v>48000</v>
      </c>
      <c r="E63" s="8">
        <f>INDEX([1]Sheet1!$E$1:$E$201,MATCH(Table1[[#This Row],[EmpID]],[1]Sheet1!$A$1:$A$201,0))</f>
        <v>43997</v>
      </c>
      <c r="F63" s="10" t="str">
        <f>INDEX('[1]Sheet5 (2)'!$A$1:$A$201,MATCH(Table1[[#This Row],[EmpID]],'[1]Sheet5 (2)'!$D$1:$D$201,0))</f>
        <v>18 Swaroop Nagar</v>
      </c>
    </row>
    <row r="64" spans="1:6" x14ac:dyDescent="0.3">
      <c r="A64" s="2" t="s">
        <v>129</v>
      </c>
      <c r="B64" s="1" t="s">
        <v>130</v>
      </c>
      <c r="C64" s="1" t="str">
        <f>INDEX([1]Sheet1!$C$1:$C$201,MATCH(Table1[[#This Row],[EmpID]],[1]Sheet1!$A$1:$A$201,0))</f>
        <v>IT</v>
      </c>
      <c r="D64" s="1">
        <f>INDEX([1]Sheet1!$D$1:$D$201,MATCH(Table1[[#This Row],[EmpID]],[1]Sheet1!$A$1:$A$201,0))</f>
        <v>75000</v>
      </c>
      <c r="E64" s="8">
        <f>INDEX([1]Sheet1!$E$1:$E$201,MATCH(Table1[[#This Row],[EmpID]],[1]Sheet1!$A$1:$A$201,0))</f>
        <v>43335</v>
      </c>
      <c r="F64" s="10" t="str">
        <f>INDEX('[1]Sheet5 (2)'!$A$1:$A$201,MATCH(Table1[[#This Row],[EmpID]],'[1]Sheet5 (2)'!$D$1:$D$201,0))</f>
        <v>7 Athwagate</v>
      </c>
    </row>
    <row r="65" spans="1:6" x14ac:dyDescent="0.3">
      <c r="A65" s="2" t="s">
        <v>131</v>
      </c>
      <c r="B65" s="1" t="s">
        <v>132</v>
      </c>
      <c r="C65" s="1" t="str">
        <f>INDEX([1]Sheet1!$C$1:$C$201,MATCH(Table1[[#This Row],[EmpID]],[1]Sheet1!$A$1:$A$201,0))</f>
        <v>Finance</v>
      </c>
      <c r="D65" s="1">
        <f>INDEX([1]Sheet1!$D$1:$D$201,MATCH(Table1[[#This Row],[EmpID]],[1]Sheet1!$A$1:$A$201,0))</f>
        <v>61000</v>
      </c>
      <c r="E65" s="8">
        <f>INDEX([1]Sheet1!$E$1:$E$201,MATCH(Table1[[#This Row],[EmpID]],[1]Sheet1!$A$1:$A$201,0))</f>
        <v>44296</v>
      </c>
      <c r="F65" s="10" t="str">
        <f>INDEX('[1]Sheet5 (2)'!$A$1:$A$201,MATCH(Table1[[#This Row],[EmpID]],'[1]Sheet5 (2)'!$D$1:$D$201,0))</f>
        <v>21 Sama Road</v>
      </c>
    </row>
    <row r="66" spans="1:6" x14ac:dyDescent="0.3">
      <c r="A66" s="2" t="s">
        <v>133</v>
      </c>
      <c r="B66" s="1" t="s">
        <v>134</v>
      </c>
      <c r="C66" s="1" t="str">
        <f>INDEX([1]Sheet1!$C$1:$C$201,MATCH(Table1[[#This Row],[EmpID]],[1]Sheet1!$A$1:$A$201,0))</f>
        <v>Marketing</v>
      </c>
      <c r="D66" s="1">
        <f>INDEX([1]Sheet1!$D$1:$D$201,MATCH(Table1[[#This Row],[EmpID]],[1]Sheet1!$A$1:$A$201,0))</f>
        <v>69000</v>
      </c>
      <c r="E66" s="8">
        <f>INDEX([1]Sheet1!$E$1:$E$201,MATCH(Table1[[#This Row],[EmpID]],[1]Sheet1!$A$1:$A$201,0))</f>
        <v>43070</v>
      </c>
      <c r="F66" s="10" t="str">
        <f>INDEX('[1]Sheet5 (2)'!$A$1:$A$201,MATCH(Table1[[#This Row],[EmpID]],'[1]Sheet5 (2)'!$D$1:$D$201,0))</f>
        <v>16 Bittan Market</v>
      </c>
    </row>
    <row r="67" spans="1:6" x14ac:dyDescent="0.3">
      <c r="A67" s="2" t="s">
        <v>135</v>
      </c>
      <c r="B67" s="1" t="s">
        <v>136</v>
      </c>
      <c r="C67" s="1" t="str">
        <f>INDEX([1]Sheet1!$C$1:$C$201,MATCH(Table1[[#This Row],[EmpID]],[1]Sheet1!$A$1:$A$201,0))</f>
        <v>Operations</v>
      </c>
      <c r="D67" s="1">
        <f>INDEX([1]Sheet1!$D$1:$D$201,MATCH(Table1[[#This Row],[EmpID]],[1]Sheet1!$A$1:$A$201,0))</f>
        <v>72000</v>
      </c>
      <c r="E67" s="8">
        <f>INDEX([1]Sheet1!$E$1:$E$201,MATCH(Table1[[#This Row],[EmpID]],[1]Sheet1!$A$1:$A$201,0))</f>
        <v>44688</v>
      </c>
      <c r="F67" s="10" t="str">
        <f>INDEX('[1]Sheet5 (2)'!$A$1:$A$201,MATCH(Table1[[#This Row],[EmpID]],'[1]Sheet5 (2)'!$D$1:$D$201,0))</f>
        <v>4 MR10 Road</v>
      </c>
    </row>
    <row r="68" spans="1:6" x14ac:dyDescent="0.3">
      <c r="A68" s="2" t="s">
        <v>137</v>
      </c>
      <c r="B68" s="1" t="s">
        <v>138</v>
      </c>
      <c r="C68" s="1" t="str">
        <f>INDEX([1]Sheet1!$C$1:$C$201,MATCH(Table1[[#This Row],[EmpID]],[1]Sheet1!$A$1:$A$201,0))</f>
        <v>Legal</v>
      </c>
      <c r="D68" s="1">
        <f>INDEX([1]Sheet1!$D$1:$D$201,MATCH(Table1[[#This Row],[EmpID]],[1]Sheet1!$A$1:$A$201,0))</f>
        <v>50000</v>
      </c>
      <c r="E68" s="8">
        <f>INDEX([1]Sheet1!$E$1:$E$201,MATCH(Table1[[#This Row],[EmpID]],[1]Sheet1!$A$1:$A$201,0))</f>
        <v>43751</v>
      </c>
      <c r="F68" s="10" t="str">
        <f>INDEX('[1]Sheet5 (2)'!$A$1:$A$201,MATCH(Table1[[#This Row],[EmpID]],'[1]Sheet5 (2)'!$D$1:$D$201,0))</f>
        <v>12 Kankarbagh</v>
      </c>
    </row>
    <row r="69" spans="1:6" x14ac:dyDescent="0.3">
      <c r="A69" s="2" t="s">
        <v>139</v>
      </c>
      <c r="B69" s="1" t="s">
        <v>140</v>
      </c>
      <c r="C69" s="1" t="str">
        <f>INDEX([1]Sheet1!$C$1:$C$201,MATCH(Table1[[#This Row],[EmpID]],[1]Sheet1!$A$1:$A$201,0))</f>
        <v>R&amp;D</v>
      </c>
      <c r="D69" s="1">
        <f>INDEX([1]Sheet1!$D$1:$D$201,MATCH(Table1[[#This Row],[EmpID]],[1]Sheet1!$A$1:$A$201,0))</f>
        <v>66000</v>
      </c>
      <c r="E69" s="8">
        <f>INDEX([1]Sheet1!$E$1:$E$201,MATCH(Table1[[#This Row],[EmpID]],[1]Sheet1!$A$1:$A$201,0))</f>
        <v>44076</v>
      </c>
      <c r="F69" s="10" t="str">
        <f>INDEX('[1]Sheet5 (2)'!$A$1:$A$201,MATCH(Table1[[#This Row],[EmpID]],'[1]Sheet5 (2)'!$D$1:$D$201,0))</f>
        <v>8 Hinoo Road</v>
      </c>
    </row>
    <row r="70" spans="1:6" x14ac:dyDescent="0.3">
      <c r="A70" s="2" t="s">
        <v>141</v>
      </c>
      <c r="B70" s="1" t="s">
        <v>142</v>
      </c>
      <c r="C70" s="1" t="str">
        <f>INDEX([1]Sheet1!$C$1:$C$201,MATCH(Table1[[#This Row],[EmpID]],[1]Sheet1!$A$1:$A$201,0))</f>
        <v>Support</v>
      </c>
      <c r="D70" s="1">
        <f>INDEX([1]Sheet1!$D$1:$D$201,MATCH(Table1[[#This Row],[EmpID]],[1]Sheet1!$A$1:$A$201,0))</f>
        <v>58000</v>
      </c>
      <c r="E70" s="8">
        <f>INDEX([1]Sheet1!$E$1:$E$201,MATCH(Table1[[#This Row],[EmpID]],[1]Sheet1!$A$1:$A$201,0))</f>
        <v>42450</v>
      </c>
      <c r="F70" s="10" t="str">
        <f>INDEX('[1]Sheet5 (2)'!$A$1:$A$201,MATCH(Table1[[#This Row],[EmpID]],'[1]Sheet5 (2)'!$D$1:$D$201,0))</f>
        <v>5 Rasulgarh</v>
      </c>
    </row>
    <row r="71" spans="1:6" x14ac:dyDescent="0.3">
      <c r="A71" s="2" t="s">
        <v>143</v>
      </c>
      <c r="B71" s="1" t="s">
        <v>144</v>
      </c>
      <c r="C71" s="1" t="str">
        <f>INDEX([1]Sheet1!$C$1:$C$201,MATCH(Table1[[#This Row],[EmpID]],[1]Sheet1!$A$1:$A$201,0))</f>
        <v>Admin</v>
      </c>
      <c r="D71" s="1">
        <f>INDEX([1]Sheet1!$D$1:$D$201,MATCH(Table1[[#This Row],[EmpID]],[1]Sheet1!$A$1:$A$201,0))</f>
        <v>45000</v>
      </c>
      <c r="E71" s="8">
        <f>INDEX([1]Sheet1!$E$1:$E$201,MATCH(Table1[[#This Row],[EmpID]],[1]Sheet1!$A$1:$A$201,0))</f>
        <v>42232</v>
      </c>
      <c r="F71" s="10" t="str">
        <f>INDEX('[1]Sheet5 (2)'!$A$1:$A$201,MATCH(Table1[[#This Row],[EmpID]],'[1]Sheet5 (2)'!$D$1:$D$201,0))</f>
        <v>10 Gandhipuram</v>
      </c>
    </row>
    <row r="72" spans="1:6" x14ac:dyDescent="0.3">
      <c r="A72" s="2" t="s">
        <v>145</v>
      </c>
      <c r="B72" s="1" t="s">
        <v>146</v>
      </c>
      <c r="C72" s="1" t="str">
        <f>INDEX([1]Sheet1!$C$1:$C$201,MATCH(Table1[[#This Row],[EmpID]],[1]Sheet1!$A$1:$A$201,0))</f>
        <v>Sales</v>
      </c>
      <c r="D72" s="1">
        <f>INDEX([1]Sheet1!$D$1:$D$201,MATCH(Table1[[#This Row],[EmpID]],[1]Sheet1!$A$1:$A$201,0))</f>
        <v>80000</v>
      </c>
      <c r="E72" s="8">
        <f>INDEX([1]Sheet1!$E$1:$E$201,MATCH(Table1[[#This Row],[EmpID]],[1]Sheet1!$A$1:$A$201,0))</f>
        <v>43159</v>
      </c>
      <c r="F72" s="10" t="str">
        <f>INDEX('[1]Sheet5 (2)'!$A$1:$A$201,MATCH(Table1[[#This Row],[EmpID]],'[1]Sheet5 (2)'!$D$1:$D$201,0))</f>
        <v>3 Fort Kochi</v>
      </c>
    </row>
    <row r="73" spans="1:6" x14ac:dyDescent="0.3">
      <c r="A73" s="2" t="s">
        <v>147</v>
      </c>
      <c r="B73" s="1" t="s">
        <v>148</v>
      </c>
      <c r="C73" s="1" t="str">
        <f>INDEX([1]Sheet1!$C$1:$C$201,MATCH(Table1[[#This Row],[EmpID]],[1]Sheet1!$A$1:$A$201,0))</f>
        <v>HR</v>
      </c>
      <c r="D73" s="1">
        <f>INDEX([1]Sheet1!$D$1:$D$201,MATCH(Table1[[#This Row],[EmpID]],[1]Sheet1!$A$1:$A$201,0))</f>
        <v>54000</v>
      </c>
      <c r="E73" s="8">
        <f>INDEX([1]Sheet1!$E$1:$E$201,MATCH(Table1[[#This Row],[EmpID]],[1]Sheet1!$A$1:$A$201,0))</f>
        <v>42834</v>
      </c>
      <c r="F73" s="10" t="str">
        <f>INDEX('[1]Sheet5 (2)'!$A$1:$A$201,MATCH(Table1[[#This Row],[EmpID]],'[1]Sheet5 (2)'!$D$1:$D$201,0))</f>
        <v>22 Pattom</v>
      </c>
    </row>
    <row r="74" spans="1:6" x14ac:dyDescent="0.3">
      <c r="A74" s="2" t="s">
        <v>149</v>
      </c>
      <c r="B74" s="1" t="s">
        <v>150</v>
      </c>
      <c r="C74" s="1" t="str">
        <f>INDEX([1]Sheet1!$C$1:$C$201,MATCH(Table1[[#This Row],[EmpID]],[1]Sheet1!$A$1:$A$201,0))</f>
        <v>IT</v>
      </c>
      <c r="D74" s="1">
        <f>INDEX([1]Sheet1!$D$1:$D$201,MATCH(Table1[[#This Row],[EmpID]],[1]Sheet1!$A$1:$A$201,0))</f>
        <v>47000</v>
      </c>
      <c r="E74" s="8">
        <f>INDEX([1]Sheet1!$E$1:$E$201,MATCH(Table1[[#This Row],[EmpID]],[1]Sheet1!$A$1:$A$201,0))</f>
        <v>44365</v>
      </c>
      <c r="F74" s="10" t="str">
        <f>INDEX('[1]Sheet5 (2)'!$A$1:$A$201,MATCH(Table1[[#This Row],[EmpID]],'[1]Sheet5 (2)'!$D$1:$D$201,0))</f>
        <v>6 Nazarbad Road</v>
      </c>
    </row>
    <row r="75" spans="1:6" x14ac:dyDescent="0.3">
      <c r="A75" s="2" t="s">
        <v>151</v>
      </c>
      <c r="B75" s="1" t="s">
        <v>152</v>
      </c>
      <c r="C75" s="1" t="str">
        <f>INDEX([1]Sheet1!$C$1:$C$201,MATCH(Table1[[#This Row],[EmpID]],[1]Sheet1!$A$1:$A$201,0))</f>
        <v>Finance</v>
      </c>
      <c r="D75" s="1">
        <f>INDEX([1]Sheet1!$D$1:$D$201,MATCH(Table1[[#This Row],[EmpID]],[1]Sheet1!$A$1:$A$201,0))</f>
        <v>90000</v>
      </c>
      <c r="E75" s="8">
        <f>INDEX([1]Sheet1!$E$1:$E$201,MATCH(Table1[[#This Row],[EmpID]],[1]Sheet1!$A$1:$A$201,0))</f>
        <v>42670</v>
      </c>
      <c r="F75" s="10" t="str">
        <f>INDEX('[1]Sheet5 (2)'!$A$1:$A$201,MATCH(Table1[[#This Row],[EmpID]],'[1]Sheet5 (2)'!$D$1:$D$201,0))</f>
        <v>11 Dharampeth</v>
      </c>
    </row>
    <row r="76" spans="1:6" x14ac:dyDescent="0.3">
      <c r="A76" s="2" t="s">
        <v>153</v>
      </c>
      <c r="B76" s="1" t="s">
        <v>154</v>
      </c>
      <c r="C76" s="1" t="str">
        <f>INDEX([1]Sheet1!$C$1:$C$201,MATCH(Table1[[#This Row],[EmpID]],[1]Sheet1!$A$1:$A$201,0))</f>
        <v>Marketing</v>
      </c>
      <c r="D76" s="1">
        <f>INDEX([1]Sheet1!$D$1:$D$201,MATCH(Table1[[#This Row],[EmpID]],[1]Sheet1!$A$1:$A$201,0))</f>
        <v>62000</v>
      </c>
      <c r="E76" s="8">
        <f>INDEX([1]Sheet1!$E$1:$E$201,MATCH(Table1[[#This Row],[EmpID]],[1]Sheet1!$A$1:$A$201,0))</f>
        <v>43777</v>
      </c>
      <c r="F76" s="10" t="str">
        <f>INDEX('[1]Sheet5 (2)'!$A$1:$A$201,MATCH(Table1[[#This Row],[EmpID]],'[1]Sheet5 (2)'!$D$1:$D$201,0))</f>
        <v>14 College Road</v>
      </c>
    </row>
    <row r="77" spans="1:6" x14ac:dyDescent="0.3">
      <c r="A77" s="2" t="s">
        <v>155</v>
      </c>
      <c r="B77" s="1" t="s">
        <v>156</v>
      </c>
      <c r="C77" s="1" t="str">
        <f>INDEX([1]Sheet1!$C$1:$C$201,MATCH(Table1[[#This Row],[EmpID]],[1]Sheet1!$A$1:$A$201,0))</f>
        <v>Operations</v>
      </c>
      <c r="D77" s="1">
        <f>INDEX([1]Sheet1!$D$1:$D$201,MATCH(Table1[[#This Row],[EmpID]],[1]Sheet1!$A$1:$A$201,0))</f>
        <v>73000</v>
      </c>
      <c r="E77" s="8">
        <f>INDEX([1]Sheet1!$E$1:$E$201,MATCH(Table1[[#This Row],[EmpID]],[1]Sheet1!$A$1:$A$201,0))</f>
        <v>43860</v>
      </c>
      <c r="F77" s="10" t="str">
        <f>INDEX('[1]Sheet5 (2)'!$A$1:$A$201,MATCH(Table1[[#This Row],[EmpID]],'[1]Sheet5 (2)'!$D$1:$D$201,0))</f>
        <v>9 Sardarpura</v>
      </c>
    </row>
    <row r="78" spans="1:6" x14ac:dyDescent="0.3">
      <c r="A78" s="2" t="s">
        <v>157</v>
      </c>
      <c r="B78" s="1" t="s">
        <v>158</v>
      </c>
      <c r="C78" s="1" t="str">
        <f>INDEX([1]Sheet1!$C$1:$C$201,MATCH(Table1[[#This Row],[EmpID]],[1]Sheet1!$A$1:$A$201,0))</f>
        <v>Legal</v>
      </c>
      <c r="D78" s="1">
        <f>INDEX([1]Sheet1!$D$1:$D$201,MATCH(Table1[[#This Row],[EmpID]],[1]Sheet1!$A$1:$A$201,0))</f>
        <v>56000</v>
      </c>
      <c r="E78" s="8">
        <f>INDEX([1]Sheet1!$E$1:$E$201,MATCH(Table1[[#This Row],[EmpID]],[1]Sheet1!$A$1:$A$201,0))</f>
        <v>42066</v>
      </c>
      <c r="F78" s="10" t="str">
        <f>INDEX('[1]Sheet5 (2)'!$A$1:$A$201,MATCH(Table1[[#This Row],[EmpID]],'[1]Sheet5 (2)'!$D$1:$D$201,0))</f>
        <v>5 Dewali</v>
      </c>
    </row>
    <row r="79" spans="1:6" x14ac:dyDescent="0.3">
      <c r="A79" s="2" t="s">
        <v>159</v>
      </c>
      <c r="B79" s="1" t="s">
        <v>160</v>
      </c>
      <c r="C79" s="1" t="str">
        <f>INDEX([1]Sheet1!$C$1:$C$201,MATCH(Table1[[#This Row],[EmpID]],[1]Sheet1!$A$1:$A$201,0))</f>
        <v>R&amp;D</v>
      </c>
      <c r="D79" s="1">
        <f>INDEX([1]Sheet1!$D$1:$D$201,MATCH(Table1[[#This Row],[EmpID]],[1]Sheet1!$A$1:$A$201,0))</f>
        <v>67000</v>
      </c>
      <c r="E79" s="8">
        <f>INDEX([1]Sheet1!$E$1:$E$201,MATCH(Table1[[#This Row],[EmpID]],[1]Sheet1!$A$1:$A$201,0))</f>
        <v>43293</v>
      </c>
      <c r="F79" s="10" t="str">
        <f>INDEX('[1]Sheet5 (2)'!$A$1:$A$201,MATCH(Table1[[#This Row],[EmpID]],'[1]Sheet5 (2)'!$D$1:$D$201,0))</f>
        <v>18 Sanjay Place</v>
      </c>
    </row>
    <row r="80" spans="1:6" x14ac:dyDescent="0.3">
      <c r="A80" s="2" t="s">
        <v>161</v>
      </c>
      <c r="B80" s="1" t="s">
        <v>162</v>
      </c>
      <c r="C80" s="1" t="str">
        <f>INDEX([1]Sheet1!$C$1:$C$201,MATCH(Table1[[#This Row],[EmpID]],[1]Sheet1!$A$1:$A$201,0))</f>
        <v>Support</v>
      </c>
      <c r="D80" s="1">
        <f>INDEX([1]Sheet1!$D$1:$D$201,MATCH(Table1[[#This Row],[EmpID]],[1]Sheet1!$A$1:$A$201,0))</f>
        <v>71000</v>
      </c>
      <c r="E80" s="8">
        <f>INDEX([1]Sheet1!$E$1:$E$201,MATCH(Table1[[#This Row],[EmpID]],[1]Sheet1!$A$1:$A$201,0))</f>
        <v>44798</v>
      </c>
      <c r="F80" s="10" t="str">
        <f>INDEX('[1]Sheet5 (2)'!$A$1:$A$201,MATCH(Table1[[#This Row],[EmpID]],'[1]Sheet5 (2)'!$D$1:$D$201,0))</f>
        <v>2 Lanka Road</v>
      </c>
    </row>
    <row r="81" spans="1:6" x14ac:dyDescent="0.3">
      <c r="A81" s="2" t="s">
        <v>163</v>
      </c>
      <c r="B81" s="1" t="s">
        <v>164</v>
      </c>
      <c r="C81" s="1" t="str">
        <f>INDEX([1]Sheet1!$C$1:$C$201,MATCH(Table1[[#This Row],[EmpID]],[1]Sheet1!$A$1:$A$201,0))</f>
        <v>Admin</v>
      </c>
      <c r="D81" s="1">
        <f>INDEX([1]Sheet1!$D$1:$D$201,MATCH(Table1[[#This Row],[EmpID]],[1]Sheet1!$A$1:$A$201,0))</f>
        <v>64000</v>
      </c>
      <c r="E81" s="8">
        <f>INDEX([1]Sheet1!$E$1:$E$201,MATCH(Table1[[#This Row],[EmpID]],[1]Sheet1!$A$1:$A$201,0))</f>
        <v>42992</v>
      </c>
      <c r="F81" s="10" t="str">
        <f>INDEX('[1]Sheet5 (2)'!$A$1:$A$201,MATCH(Table1[[#This Row],[EmpID]],'[1]Sheet5 (2)'!$D$1:$D$201,0))</f>
        <v>7 Shastri Nagar</v>
      </c>
    </row>
    <row r="82" spans="1:6" x14ac:dyDescent="0.3">
      <c r="A82" s="2" t="s">
        <v>165</v>
      </c>
      <c r="B82" s="1" t="s">
        <v>166</v>
      </c>
      <c r="C82" s="1" t="str">
        <f>INDEX([1]Sheet1!$C$1:$C$201,MATCH(Table1[[#This Row],[EmpID]],[1]Sheet1!$A$1:$A$201,0))</f>
        <v>Sales</v>
      </c>
      <c r="D82" s="1">
        <f>INDEX([1]Sheet1!$D$1:$D$201,MATCH(Table1[[#This Row],[EmpID]],[1]Sheet1!$A$1:$A$201,0))</f>
        <v>52000</v>
      </c>
      <c r="E82" s="8">
        <f>INDEX([1]Sheet1!$E$1:$E$201,MATCH(Table1[[#This Row],[EmpID]],[1]Sheet1!$A$1:$A$201,0))</f>
        <v>43590</v>
      </c>
      <c r="F82" s="10" t="str">
        <f>INDEX('[1]Sheet5 (2)'!$A$1:$A$201,MATCH(Table1[[#This Row],[EmpID]],'[1]Sheet5 (2)'!$D$1:$D$201,0))</f>
        <v>20 Ferozepur Road</v>
      </c>
    </row>
    <row r="83" spans="1:6" x14ac:dyDescent="0.3">
      <c r="A83" s="2" t="s">
        <v>167</v>
      </c>
      <c r="B83" s="1" t="s">
        <v>168</v>
      </c>
      <c r="C83" s="1" t="str">
        <f>INDEX([1]Sheet1!$C$1:$C$201,MATCH(Table1[[#This Row],[EmpID]],[1]Sheet1!$A$1:$A$201,0))</f>
        <v>HR</v>
      </c>
      <c r="D83" s="1">
        <f>INDEX([1]Sheet1!$D$1:$D$201,MATCH(Table1[[#This Row],[EmpID]],[1]Sheet1!$A$1:$A$201,0))</f>
        <v>48000</v>
      </c>
      <c r="E83" s="8">
        <f>INDEX([1]Sheet1!$E$1:$E$201,MATCH(Table1[[#This Row],[EmpID]],[1]Sheet1!$A$1:$A$201,0))</f>
        <v>43913</v>
      </c>
      <c r="F83" s="10" t="str">
        <f>INDEX('[1]Sheet5 (2)'!$A$1:$A$201,MATCH(Table1[[#This Row],[EmpID]],'[1]Sheet5 (2)'!$D$1:$D$201,0))</f>
        <v>12 Lawrence Road</v>
      </c>
    </row>
    <row r="84" spans="1:6" x14ac:dyDescent="0.3">
      <c r="A84" s="2" t="s">
        <v>169</v>
      </c>
      <c r="B84" s="1" t="s">
        <v>170</v>
      </c>
      <c r="C84" s="1" t="str">
        <f>INDEX([1]Sheet1!$C$1:$C$201,MATCH(Table1[[#This Row],[EmpID]],[1]Sheet1!$A$1:$A$201,0))</f>
        <v>IT</v>
      </c>
      <c r="D84" s="1">
        <f>INDEX([1]Sheet1!$D$1:$D$201,MATCH(Table1[[#This Row],[EmpID]],[1]Sheet1!$A$1:$A$201,0))</f>
        <v>75000</v>
      </c>
      <c r="E84" s="8">
        <f>INDEX([1]Sheet1!$E$1:$E$201,MATCH(Table1[[#This Row],[EmpID]],[1]Sheet1!$A$1:$A$201,0))</f>
        <v>43130</v>
      </c>
      <c r="F84" s="10" t="str">
        <f>INDEX('[1]Sheet5 (2)'!$A$1:$A$201,MATCH(Table1[[#This Row],[EmpID]],'[1]Sheet5 (2)'!$D$1:$D$201,0))</f>
        <v>9 Model Town</v>
      </c>
    </row>
    <row r="85" spans="1:6" x14ac:dyDescent="0.3">
      <c r="A85" s="2" t="s">
        <v>171</v>
      </c>
      <c r="B85" s="1" t="s">
        <v>172</v>
      </c>
      <c r="C85" s="1" t="str">
        <f>INDEX([1]Sheet1!$C$1:$C$201,MATCH(Table1[[#This Row],[EmpID]],[1]Sheet1!$A$1:$A$201,0))</f>
        <v>Finance</v>
      </c>
      <c r="D85" s="1">
        <f>INDEX([1]Sheet1!$D$1:$D$201,MATCH(Table1[[#This Row],[EmpID]],[1]Sheet1!$A$1:$A$201,0))</f>
        <v>61000</v>
      </c>
      <c r="E85" s="8">
        <f>INDEX([1]Sheet1!$E$1:$E$201,MATCH(Table1[[#This Row],[EmpID]],[1]Sheet1!$A$1:$A$201,0))</f>
        <v>44396</v>
      </c>
      <c r="F85" s="10" t="str">
        <f>INDEX('[1]Sheet5 (2)'!$A$1:$A$201,MATCH(Table1[[#This Row],[EmpID]],'[1]Sheet5 (2)'!$D$1:$D$201,0))</f>
        <v>25 Rajpur Road</v>
      </c>
    </row>
    <row r="86" spans="1:6" x14ac:dyDescent="0.3">
      <c r="A86" s="2" t="s">
        <v>173</v>
      </c>
      <c r="B86" s="1" t="s">
        <v>174</v>
      </c>
      <c r="C86" s="1" t="str">
        <f>INDEX([1]Sheet1!$C$1:$C$201,MATCH(Table1[[#This Row],[EmpID]],[1]Sheet1!$A$1:$A$201,0))</f>
        <v>Marketing</v>
      </c>
      <c r="D86" s="1">
        <f>INDEX([1]Sheet1!$D$1:$D$201,MATCH(Table1[[#This Row],[EmpID]],[1]Sheet1!$A$1:$A$201,0))</f>
        <v>69000</v>
      </c>
      <c r="E86" s="8">
        <f>INDEX([1]Sheet1!$E$1:$E$201,MATCH(Table1[[#This Row],[EmpID]],[1]Sheet1!$A$1:$A$201,0))</f>
        <v>42741</v>
      </c>
      <c r="F86" s="10" t="str">
        <f>INDEX('[1]Sheet5 (2)'!$A$1:$A$201,MATCH(Table1[[#This Row],[EmpID]],'[1]Sheet5 (2)'!$D$1:$D$201,0))</f>
        <v>6 The Mall</v>
      </c>
    </row>
    <row r="87" spans="1:6" x14ac:dyDescent="0.3">
      <c r="A87" s="2" t="s">
        <v>175</v>
      </c>
      <c r="B87" s="1" t="s">
        <v>176</v>
      </c>
      <c r="C87" s="1" t="str">
        <f>INDEX([1]Sheet1!$C$1:$C$201,MATCH(Table1[[#This Row],[EmpID]],[1]Sheet1!$A$1:$A$201,0))</f>
        <v>Operations</v>
      </c>
      <c r="D87" s="1">
        <f>INDEX([1]Sheet1!$D$1:$D$201,MATCH(Table1[[#This Row],[EmpID]],[1]Sheet1!$A$1:$A$201,0))</f>
        <v>72000</v>
      </c>
      <c r="E87" s="8">
        <f>INDEX([1]Sheet1!$E$1:$E$201,MATCH(Table1[[#This Row],[EmpID]],[1]Sheet1!$A$1:$A$201,0))</f>
        <v>44845</v>
      </c>
      <c r="F87" s="10" t="str">
        <f>INDEX('[1]Sheet5 (2)'!$A$1:$A$201,MATCH(Table1[[#This Row],[EmpID]],'[1]Sheet5 (2)'!$D$1:$D$201,0))</f>
        <v>11 Lal Chowk</v>
      </c>
    </row>
    <row r="88" spans="1:6" x14ac:dyDescent="0.3">
      <c r="A88" s="2" t="s">
        <v>177</v>
      </c>
      <c r="B88" s="1" t="s">
        <v>178</v>
      </c>
      <c r="C88" s="1" t="str">
        <f>INDEX([1]Sheet1!$C$1:$C$201,MATCH(Table1[[#This Row],[EmpID]],[1]Sheet1!$A$1:$A$201,0))</f>
        <v>Legal</v>
      </c>
      <c r="D88" s="1">
        <f>INDEX([1]Sheet1!$D$1:$D$201,MATCH(Table1[[#This Row],[EmpID]],[1]Sheet1!$A$1:$A$201,0))</f>
        <v>50000</v>
      </c>
      <c r="E88" s="8">
        <f>INDEX([1]Sheet1!$E$1:$E$201,MATCH(Table1[[#This Row],[EmpID]],[1]Sheet1!$A$1:$A$201,0))</f>
        <v>43579</v>
      </c>
      <c r="F88" s="10" t="str">
        <f>INDEX('[1]Sheet5 (2)'!$A$1:$A$201,MATCH(Table1[[#This Row],[EmpID]],'[1]Sheet5 (2)'!$D$1:$D$201,0))</f>
        <v>8 GS Road</v>
      </c>
    </row>
    <row r="89" spans="1:6" x14ac:dyDescent="0.3">
      <c r="A89" s="2" t="s">
        <v>179</v>
      </c>
      <c r="B89" s="1" t="s">
        <v>180</v>
      </c>
      <c r="C89" s="1" t="str">
        <f>INDEX([1]Sheet1!$C$1:$C$201,MATCH(Table1[[#This Row],[EmpID]],[1]Sheet1!$A$1:$A$201,0))</f>
        <v>R&amp;D</v>
      </c>
      <c r="D89" s="1">
        <f>INDEX([1]Sheet1!$D$1:$D$201,MATCH(Table1[[#This Row],[EmpID]],[1]Sheet1!$A$1:$A$201,0))</f>
        <v>66000</v>
      </c>
      <c r="E89" s="8">
        <f>INDEX([1]Sheet1!$E$1:$E$201,MATCH(Table1[[#This Row],[EmpID]],[1]Sheet1!$A$1:$A$201,0))</f>
        <v>44168</v>
      </c>
      <c r="F89" s="10" t="str">
        <f>INDEX('[1]Sheet5 (2)'!$A$1:$A$201,MATCH(Table1[[#This Row],[EmpID]],'[1]Sheet5 (2)'!$D$1:$D$201,0))</f>
        <v>3 Thangal Bazar</v>
      </c>
    </row>
    <row r="90" spans="1:6" x14ac:dyDescent="0.3">
      <c r="A90" s="2" t="s">
        <v>181</v>
      </c>
      <c r="B90" s="1" t="s">
        <v>182</v>
      </c>
      <c r="C90" s="1" t="str">
        <f>INDEX([1]Sheet1!$C$1:$C$201,MATCH(Table1[[#This Row],[EmpID]],[1]Sheet1!$A$1:$A$201,0))</f>
        <v>Support</v>
      </c>
      <c r="D90" s="1">
        <f>INDEX([1]Sheet1!$D$1:$D$201,MATCH(Table1[[#This Row],[EmpID]],[1]Sheet1!$A$1:$A$201,0))</f>
        <v>58000</v>
      </c>
      <c r="E90" s="8">
        <f>INDEX([1]Sheet1!$E$1:$E$201,MATCH(Table1[[#This Row],[EmpID]],[1]Sheet1!$A$1:$A$201,0))</f>
        <v>42687</v>
      </c>
      <c r="F90" s="10" t="str">
        <f>INDEX('[1]Sheet5 (2)'!$A$1:$A$201,MATCH(Table1[[#This Row],[EmpID]],'[1]Sheet5 (2)'!$D$1:$D$201,0))</f>
        <v>14 VIP Road</v>
      </c>
    </row>
    <row r="91" spans="1:6" x14ac:dyDescent="0.3">
      <c r="A91" s="2" t="s">
        <v>183</v>
      </c>
      <c r="B91" s="1" t="s">
        <v>184</v>
      </c>
      <c r="C91" s="1" t="str">
        <f>INDEX([1]Sheet1!$C$1:$C$201,MATCH(Table1[[#This Row],[EmpID]],[1]Sheet1!$A$1:$A$201,0))</f>
        <v>Admin</v>
      </c>
      <c r="D91" s="1">
        <f>INDEX([1]Sheet1!$D$1:$D$201,MATCH(Table1[[#This Row],[EmpID]],[1]Sheet1!$A$1:$A$201,0))</f>
        <v>45000</v>
      </c>
      <c r="E91" s="8">
        <f>INDEX([1]Sheet1!$E$1:$E$201,MATCH(Table1[[#This Row],[EmpID]],[1]Sheet1!$A$1:$A$201,0))</f>
        <v>42036</v>
      </c>
      <c r="F91" s="10" t="str">
        <f>INDEX('[1]Sheet5 (2)'!$A$1:$A$201,MATCH(Table1[[#This Row],[EmpID]],'[1]Sheet5 (2)'!$D$1:$D$201,0))</f>
        <v>5 Kohima Road</v>
      </c>
    </row>
    <row r="92" spans="1:6" x14ac:dyDescent="0.3">
      <c r="A92" s="2" t="s">
        <v>185</v>
      </c>
      <c r="B92" s="1" t="s">
        <v>186</v>
      </c>
      <c r="C92" s="1" t="str">
        <f>INDEX([1]Sheet1!$C$1:$C$201,MATCH(Table1[[#This Row],[EmpID]],[1]Sheet1!$A$1:$A$201,0))</f>
        <v>Sales</v>
      </c>
      <c r="D92" s="1">
        <f>INDEX([1]Sheet1!$D$1:$D$201,MATCH(Table1[[#This Row],[EmpID]],[1]Sheet1!$A$1:$A$201,0))</f>
        <v>80000</v>
      </c>
      <c r="E92" s="8">
        <f>INDEX([1]Sheet1!$E$1:$E$201,MATCH(Table1[[#This Row],[EmpID]],[1]Sheet1!$A$1:$A$201,0))</f>
        <v>43175</v>
      </c>
      <c r="F92" s="10" t="str">
        <f>INDEX('[1]Sheet5 (2)'!$A$1:$A$201,MATCH(Table1[[#This Row],[EmpID]],'[1]Sheet5 (2)'!$D$1:$D$201,0))</f>
        <v>19 Zarkawt</v>
      </c>
    </row>
    <row r="93" spans="1:6" x14ac:dyDescent="0.3">
      <c r="A93" s="2" t="s">
        <v>187</v>
      </c>
      <c r="B93" s="1" t="s">
        <v>188</v>
      </c>
      <c r="C93" s="1" t="str">
        <f>INDEX([1]Sheet1!$C$1:$C$201,MATCH(Table1[[#This Row],[EmpID]],[1]Sheet1!$A$1:$A$201,0))</f>
        <v>HR</v>
      </c>
      <c r="D93" s="1">
        <f>INDEX([1]Sheet1!$D$1:$D$201,MATCH(Table1[[#This Row],[EmpID]],[1]Sheet1!$A$1:$A$201,0))</f>
        <v>54000</v>
      </c>
      <c r="E93" s="8">
        <f>INDEX([1]Sheet1!$E$1:$E$201,MATCH(Table1[[#This Row],[EmpID]],[1]Sheet1!$A$1:$A$201,0))</f>
        <v>42952</v>
      </c>
      <c r="F93" s="10" t="str">
        <f>INDEX('[1]Sheet5 (2)'!$A$1:$A$201,MATCH(Table1[[#This Row],[EmpID]],'[1]Sheet5 (2)'!$D$1:$D$201,0))</f>
        <v>2 Aberdeen Bazaar</v>
      </c>
    </row>
    <row r="94" spans="1:6" x14ac:dyDescent="0.3">
      <c r="A94" s="2" t="s">
        <v>189</v>
      </c>
      <c r="B94" s="1" t="s">
        <v>190</v>
      </c>
      <c r="C94" s="1" t="str">
        <f>INDEX([1]Sheet1!$C$1:$C$201,MATCH(Table1[[#This Row],[EmpID]],[1]Sheet1!$A$1:$A$201,0))</f>
        <v>IT</v>
      </c>
      <c r="D94" s="1">
        <f>INDEX([1]Sheet1!$D$1:$D$201,MATCH(Table1[[#This Row],[EmpID]],[1]Sheet1!$A$1:$A$201,0))</f>
        <v>47000</v>
      </c>
      <c r="E94" s="8">
        <f>INDEX([1]Sheet1!$E$1:$E$201,MATCH(Table1[[#This Row],[EmpID]],[1]Sheet1!$A$1:$A$201,0))</f>
        <v>44467</v>
      </c>
      <c r="F94" s="10" t="str">
        <f>INDEX('[1]Sheet5 (2)'!$A$1:$A$201,MATCH(Table1[[#This Row],[EmpID]],'[1]Sheet5 (2)'!$D$1:$D$201,0))</f>
        <v>28 MG Road</v>
      </c>
    </row>
    <row r="95" spans="1:6" x14ac:dyDescent="0.3">
      <c r="A95" s="2" t="s">
        <v>191</v>
      </c>
      <c r="B95" s="1" t="s">
        <v>192</v>
      </c>
      <c r="C95" s="1" t="str">
        <f>INDEX([1]Sheet1!$C$1:$C$201,MATCH(Table1[[#This Row],[EmpID]],[1]Sheet1!$A$1:$A$201,0))</f>
        <v>Finance</v>
      </c>
      <c r="D95" s="1">
        <f>INDEX([1]Sheet1!$D$1:$D$201,MATCH(Table1[[#This Row],[EmpID]],[1]Sheet1!$A$1:$A$201,0))</f>
        <v>90000</v>
      </c>
      <c r="E95" s="8">
        <f>INDEX([1]Sheet1!$E$1:$E$201,MATCH(Table1[[#This Row],[EmpID]],[1]Sheet1!$A$1:$A$201,0))</f>
        <v>42502</v>
      </c>
      <c r="F95" s="10" t="str">
        <f>INDEX('[1]Sheet5 (2)'!$A$1:$A$201,MATCH(Table1[[#This Row],[EmpID]],'[1]Sheet5 (2)'!$D$1:$D$201,0))</f>
        <v>33 Park Street</v>
      </c>
    </row>
    <row r="96" spans="1:6" x14ac:dyDescent="0.3">
      <c r="A96" s="2" t="s">
        <v>193</v>
      </c>
      <c r="B96" s="1" t="s">
        <v>194</v>
      </c>
      <c r="C96" s="1" t="str">
        <f>INDEX([1]Sheet1!$C$1:$C$201,MATCH(Table1[[#This Row],[EmpID]],[1]Sheet1!$A$1:$A$201,0))</f>
        <v>Marketing</v>
      </c>
      <c r="D96" s="1">
        <f>INDEX([1]Sheet1!$D$1:$D$201,MATCH(Table1[[#This Row],[EmpID]],[1]Sheet1!$A$1:$A$201,0))</f>
        <v>62000</v>
      </c>
      <c r="E96" s="8">
        <f>INDEX([1]Sheet1!$E$1:$E$201,MATCH(Table1[[#This Row],[EmpID]],[1]Sheet1!$A$1:$A$201,0))</f>
        <v>43820</v>
      </c>
      <c r="F96" s="10" t="str">
        <f>INDEX('[1]Sheet5 (2)'!$A$1:$A$201,MATCH(Table1[[#This Row],[EmpID]],'[1]Sheet5 (2)'!$D$1:$D$201,0))</f>
        <v>7 Brigade Road</v>
      </c>
    </row>
    <row r="97" spans="1:6" x14ac:dyDescent="0.3">
      <c r="A97" s="2" t="s">
        <v>195</v>
      </c>
      <c r="B97" s="1" t="s">
        <v>196</v>
      </c>
      <c r="C97" s="1" t="str">
        <f>INDEX([1]Sheet1!$C$1:$C$201,MATCH(Table1[[#This Row],[EmpID]],[1]Sheet1!$A$1:$A$201,0))</f>
        <v>Operations</v>
      </c>
      <c r="D97" s="1">
        <f>INDEX([1]Sheet1!$D$1:$D$201,MATCH(Table1[[#This Row],[EmpID]],[1]Sheet1!$A$1:$A$201,0))</f>
        <v>73000</v>
      </c>
      <c r="E97" s="8">
        <f>INDEX([1]Sheet1!$E$1:$E$201,MATCH(Table1[[#This Row],[EmpID]],[1]Sheet1!$A$1:$A$201,0))</f>
        <v>43927</v>
      </c>
      <c r="F97" s="10" t="str">
        <f>INDEX('[1]Sheet5 (2)'!$A$1:$A$201,MATCH(Table1[[#This Row],[EmpID]],'[1]Sheet5 (2)'!$D$1:$D$201,0))</f>
        <v>44 Anna Salai</v>
      </c>
    </row>
    <row r="98" spans="1:6" x14ac:dyDescent="0.3">
      <c r="A98" s="2" t="s">
        <v>197</v>
      </c>
      <c r="B98" s="1" t="s">
        <v>198</v>
      </c>
      <c r="C98" s="1" t="str">
        <f>INDEX([1]Sheet1!$C$1:$C$201,MATCH(Table1[[#This Row],[EmpID]],[1]Sheet1!$A$1:$A$201,0))</f>
        <v>Legal</v>
      </c>
      <c r="D98" s="1">
        <f>INDEX([1]Sheet1!$D$1:$D$201,MATCH(Table1[[#This Row],[EmpID]],[1]Sheet1!$A$1:$A$201,0))</f>
        <v>56000</v>
      </c>
      <c r="E98" s="8">
        <f>INDEX([1]Sheet1!$E$1:$E$201,MATCH(Table1[[#This Row],[EmpID]],[1]Sheet1!$A$1:$A$201,0))</f>
        <v>42210</v>
      </c>
      <c r="F98" s="10" t="str">
        <f>INDEX('[1]Sheet5 (2)'!$A$1:$A$201,MATCH(Table1[[#This Row],[EmpID]],'[1]Sheet5 (2)'!$D$1:$D$201,0))</f>
        <v>66 Marine Drive</v>
      </c>
    </row>
    <row r="99" spans="1:6" x14ac:dyDescent="0.3">
      <c r="A99" s="2" t="s">
        <v>199</v>
      </c>
      <c r="B99" s="1" t="s">
        <v>200</v>
      </c>
      <c r="C99" s="1" t="str">
        <f>INDEX([1]Sheet1!$C$1:$C$201,MATCH(Table1[[#This Row],[EmpID]],[1]Sheet1!$A$1:$A$201,0))</f>
        <v>R&amp;D</v>
      </c>
      <c r="D99" s="1">
        <f>INDEX([1]Sheet1!$D$1:$D$201,MATCH(Table1[[#This Row],[EmpID]],[1]Sheet1!$A$1:$A$201,0))</f>
        <v>67000</v>
      </c>
      <c r="E99" s="8">
        <f>INDEX([1]Sheet1!$E$1:$E$201,MATCH(Table1[[#This Row],[EmpID]],[1]Sheet1!$A$1:$A$201,0))</f>
        <v>43373</v>
      </c>
      <c r="F99" s="10" t="str">
        <f>INDEX('[1]Sheet5 (2)'!$A$1:$A$201,MATCH(Table1[[#This Row],[EmpID]],'[1]Sheet5 (2)'!$D$1:$D$201,0))</f>
        <v>12 Koregaon Park</v>
      </c>
    </row>
    <row r="100" spans="1:6" x14ac:dyDescent="0.3">
      <c r="A100" s="2" t="s">
        <v>201</v>
      </c>
      <c r="B100" s="1" t="s">
        <v>202</v>
      </c>
      <c r="C100" s="1" t="str">
        <f>INDEX([1]Sheet1!$C$1:$C$201,MATCH(Table1[[#This Row],[EmpID]],[1]Sheet1!$A$1:$A$201,0))</f>
        <v>Support</v>
      </c>
      <c r="D100" s="1">
        <f>INDEX([1]Sheet1!$D$1:$D$201,MATCH(Table1[[#This Row],[EmpID]],[1]Sheet1!$A$1:$A$201,0))</f>
        <v>71000</v>
      </c>
      <c r="E100" s="8">
        <f>INDEX([1]Sheet1!$E$1:$E$201,MATCH(Table1[[#This Row],[EmpID]],[1]Sheet1!$A$1:$A$201,0))</f>
        <v>44606</v>
      </c>
      <c r="F100" s="10" t="str">
        <f>INDEX('[1]Sheet5 (2)'!$A$1:$A$201,MATCH(Table1[[#This Row],[EmpID]],'[1]Sheet5 (2)'!$D$1:$D$201,0))</f>
        <v>9 Banjara Hills</v>
      </c>
    </row>
    <row r="101" spans="1:6" x14ac:dyDescent="0.3">
      <c r="A101" s="2" t="s">
        <v>203</v>
      </c>
      <c r="B101" s="1" t="s">
        <v>204</v>
      </c>
      <c r="C101" s="1" t="str">
        <f>INDEX([1]Sheet1!$C$1:$C$201,MATCH(Table1[[#This Row],[EmpID]],[1]Sheet1!$A$1:$A$201,0))</f>
        <v>Admin</v>
      </c>
      <c r="D101" s="1">
        <f>INDEX([1]Sheet1!$D$1:$D$201,MATCH(Table1[[#This Row],[EmpID]],[1]Sheet1!$A$1:$A$201,0))</f>
        <v>64000</v>
      </c>
      <c r="E101" s="8">
        <f>INDEX([1]Sheet1!$E$1:$E$201,MATCH(Table1[[#This Row],[EmpID]],[1]Sheet1!$A$1:$A$201,0))</f>
        <v>42887</v>
      </c>
      <c r="F101" s="10" t="str">
        <f>INDEX('[1]Sheet5 (2)'!$A$1:$A$201,MATCH(Table1[[#This Row],[EmpID]],'[1]Sheet5 (2)'!$D$1:$D$201,0))</f>
        <v>5 SG Highway</v>
      </c>
    </row>
    <row r="102" spans="1:6" x14ac:dyDescent="0.3">
      <c r="A102" s="2" t="s">
        <v>205</v>
      </c>
      <c r="B102" s="1" t="s">
        <v>206</v>
      </c>
      <c r="C102" s="1" t="str">
        <f>INDEX([1]Sheet1!$C$1:$C$201,MATCH(Table1[[#This Row],[EmpID]],[1]Sheet1!$A$1:$A$201,0))</f>
        <v>Sales</v>
      </c>
      <c r="D102" s="1">
        <f>INDEX([1]Sheet1!$D$1:$D$201,MATCH(Table1[[#This Row],[EmpID]],[1]Sheet1!$A$1:$A$201,0))</f>
        <v>52000</v>
      </c>
      <c r="E102" s="8">
        <f>INDEX([1]Sheet1!$E$1:$E$201,MATCH(Table1[[#This Row],[EmpID]],[1]Sheet1!$A$1:$A$201,0))</f>
        <v>43717</v>
      </c>
      <c r="F102" s="10" t="str">
        <f>INDEX('[1]Sheet5 (2)'!$A$1:$A$201,MATCH(Table1[[#This Row],[EmpID]],'[1]Sheet5 (2)'!$D$1:$D$201,0))</f>
        <v>21 Hazratganj</v>
      </c>
    </row>
    <row r="103" spans="1:6" x14ac:dyDescent="0.3">
      <c r="A103" s="2" t="s">
        <v>207</v>
      </c>
      <c r="B103" s="1" t="s">
        <v>208</v>
      </c>
      <c r="C103" s="1" t="str">
        <f>INDEX([1]Sheet1!$C$1:$C$201,MATCH(Table1[[#This Row],[EmpID]],[1]Sheet1!$A$1:$A$201,0))</f>
        <v>HR</v>
      </c>
      <c r="D103" s="1">
        <f>INDEX([1]Sheet1!$D$1:$D$201,MATCH(Table1[[#This Row],[EmpID]],[1]Sheet1!$A$1:$A$201,0))</f>
        <v>48000</v>
      </c>
      <c r="E103" s="8">
        <f>INDEX([1]Sheet1!$E$1:$E$201,MATCH(Table1[[#This Row],[EmpID]],[1]Sheet1!$A$1:$A$201,0))</f>
        <v>43848</v>
      </c>
      <c r="F103" s="10" t="str">
        <f>INDEX('[1]Sheet5 (2)'!$A$1:$A$201,MATCH(Table1[[#This Row],[EmpID]],'[1]Sheet5 (2)'!$D$1:$D$201,0))</f>
        <v>14 MI Road</v>
      </c>
    </row>
    <row r="104" spans="1:6" x14ac:dyDescent="0.3">
      <c r="A104" s="2" t="s">
        <v>209</v>
      </c>
      <c r="B104" s="1" t="s">
        <v>210</v>
      </c>
      <c r="C104" s="1" t="str">
        <f>INDEX([1]Sheet1!$C$1:$C$201,MATCH(Table1[[#This Row],[EmpID]],[1]Sheet1!$A$1:$A$201,0))</f>
        <v>IT</v>
      </c>
      <c r="D104" s="1">
        <f>INDEX([1]Sheet1!$D$1:$D$201,MATCH(Table1[[#This Row],[EmpID]],[1]Sheet1!$A$1:$A$201,0))</f>
        <v>75000</v>
      </c>
      <c r="E104" s="8">
        <f>INDEX([1]Sheet1!$E$1:$E$201,MATCH(Table1[[#This Row],[EmpID]],[1]Sheet1!$A$1:$A$201,0))</f>
        <v>43258</v>
      </c>
      <c r="F104" s="10" t="str">
        <f>INDEX('[1]Sheet5 (2)'!$A$1:$A$201,MATCH(Table1[[#This Row],[EmpID]],'[1]Sheet5 (2)'!$D$1:$D$201,0))</f>
        <v>8 Sector 17</v>
      </c>
    </row>
    <row r="105" spans="1:6" x14ac:dyDescent="0.3">
      <c r="A105" s="2" t="s">
        <v>211</v>
      </c>
      <c r="B105" s="1" t="s">
        <v>212</v>
      </c>
      <c r="C105" s="1" t="str">
        <f>INDEX([1]Sheet1!$C$1:$C$201,MATCH(Table1[[#This Row],[EmpID]],[1]Sheet1!$A$1:$A$201,0))</f>
        <v>Finance</v>
      </c>
      <c r="D105" s="1">
        <f>INDEX([1]Sheet1!$D$1:$D$201,MATCH(Table1[[#This Row],[EmpID]],[1]Sheet1!$A$1:$A$201,0))</f>
        <v>61000</v>
      </c>
      <c r="E105" s="8">
        <f>INDEX([1]Sheet1!$E$1:$E$201,MATCH(Table1[[#This Row],[EmpID]],[1]Sheet1!$A$1:$A$201,0))</f>
        <v>44280</v>
      </c>
      <c r="F105" s="10" t="str">
        <f>INDEX('[1]Sheet5 (2)'!$A$1:$A$201,MATCH(Table1[[#This Row],[EmpID]],'[1]Sheet5 (2)'!$D$1:$D$201,0))</f>
        <v>20 Udyog Vihar</v>
      </c>
    </row>
    <row r="106" spans="1:6" x14ac:dyDescent="0.3">
      <c r="A106" s="2" t="s">
        <v>213</v>
      </c>
      <c r="B106" s="1" t="s">
        <v>214</v>
      </c>
      <c r="C106" s="1" t="str">
        <f>INDEX([1]Sheet1!$C$1:$C$201,MATCH(Table1[[#This Row],[EmpID]],[1]Sheet1!$A$1:$A$201,0))</f>
        <v>Marketing</v>
      </c>
      <c r="D106" s="1">
        <f>INDEX([1]Sheet1!$D$1:$D$201,MATCH(Table1[[#This Row],[EmpID]],[1]Sheet1!$A$1:$A$201,0))</f>
        <v>69000</v>
      </c>
      <c r="E106" s="8">
        <f>INDEX([1]Sheet1!$E$1:$E$201,MATCH(Table1[[#This Row],[EmpID]],[1]Sheet1!$A$1:$A$201,0))</f>
        <v>43010</v>
      </c>
      <c r="F106" s="10" t="str">
        <f>INDEX('[1]Sheet5 (2)'!$A$1:$A$201,MATCH(Table1[[#This Row],[EmpID]],'[1]Sheet5 (2)'!$D$1:$D$201,0))</f>
        <v>11 Sector 18</v>
      </c>
    </row>
    <row r="107" spans="1:6" x14ac:dyDescent="0.3">
      <c r="A107" s="2" t="s">
        <v>215</v>
      </c>
      <c r="B107" s="1" t="s">
        <v>216</v>
      </c>
      <c r="C107" s="1" t="str">
        <f>INDEX([1]Sheet1!$C$1:$C$201,MATCH(Table1[[#This Row],[EmpID]],[1]Sheet1!$A$1:$A$201,0))</f>
        <v>Operations</v>
      </c>
      <c r="D107" s="1">
        <f>INDEX([1]Sheet1!$D$1:$D$201,MATCH(Table1[[#This Row],[EmpID]],[1]Sheet1!$A$1:$A$201,0))</f>
        <v>72000</v>
      </c>
      <c r="E107" s="8">
        <f>INDEX([1]Sheet1!$E$1:$E$201,MATCH(Table1[[#This Row],[EmpID]],[1]Sheet1!$A$1:$A$201,0))</f>
        <v>44758</v>
      </c>
      <c r="F107" s="10" t="str">
        <f>INDEX('[1]Sheet5 (2)'!$A$1:$A$201,MATCH(Table1[[#This Row],[EmpID]],'[1]Sheet5 (2)'!$D$1:$D$201,0))</f>
        <v>6 Raj Nagar</v>
      </c>
    </row>
    <row r="108" spans="1:6" x14ac:dyDescent="0.3">
      <c r="A108" s="2" t="s">
        <v>217</v>
      </c>
      <c r="B108" s="1" t="s">
        <v>218</v>
      </c>
      <c r="C108" s="1" t="str">
        <f>INDEX([1]Sheet1!$C$1:$C$201,MATCH(Table1[[#This Row],[EmpID]],[1]Sheet1!$A$1:$A$201,0))</f>
        <v>Legal</v>
      </c>
      <c r="D108" s="1">
        <f>INDEX([1]Sheet1!$D$1:$D$201,MATCH(Table1[[#This Row],[EmpID]],[1]Sheet1!$A$1:$A$201,0))</f>
        <v>50000</v>
      </c>
      <c r="E108" s="8">
        <f>INDEX([1]Sheet1!$E$1:$E$201,MATCH(Table1[[#This Row],[EmpID]],[1]Sheet1!$A$1:$A$201,0))</f>
        <v>43523</v>
      </c>
      <c r="F108" s="10" t="str">
        <f>INDEX('[1]Sheet5 (2)'!$A$1:$A$201,MATCH(Table1[[#This Row],[EmpID]],'[1]Sheet5 (2)'!$D$1:$D$201,0))</f>
        <v>3 Indirapuram</v>
      </c>
    </row>
    <row r="109" spans="1:6" x14ac:dyDescent="0.3">
      <c r="A109" s="2" t="s">
        <v>219</v>
      </c>
      <c r="B109" s="1" t="s">
        <v>220</v>
      </c>
      <c r="C109" s="1" t="str">
        <f>INDEX([1]Sheet1!$C$1:$C$201,MATCH(Table1[[#This Row],[EmpID]],[1]Sheet1!$A$1:$A$201,0))</f>
        <v>R&amp;D</v>
      </c>
      <c r="D109" s="1">
        <f>INDEX([1]Sheet1!$D$1:$D$201,MATCH(Table1[[#This Row],[EmpID]],[1]Sheet1!$A$1:$A$201,0))</f>
        <v>66000</v>
      </c>
      <c r="E109" s="8">
        <f>INDEX([1]Sheet1!$E$1:$E$201,MATCH(Table1[[#This Row],[EmpID]],[1]Sheet1!$A$1:$A$201,0))</f>
        <v>43955</v>
      </c>
      <c r="F109" s="10" t="str">
        <f>INDEX('[1]Sheet5 (2)'!$A$1:$A$201,MATCH(Table1[[#This Row],[EmpID]],'[1]Sheet5 (2)'!$D$1:$D$201,0))</f>
        <v>17 Swaroop Nagar</v>
      </c>
    </row>
    <row r="110" spans="1:6" x14ac:dyDescent="0.3">
      <c r="A110" s="2" t="s">
        <v>221</v>
      </c>
      <c r="B110" s="1" t="s">
        <v>222</v>
      </c>
      <c r="C110" s="1" t="str">
        <f>INDEX([1]Sheet1!$C$1:$C$201,MATCH(Table1[[#This Row],[EmpID]],[1]Sheet1!$A$1:$A$201,0))</f>
        <v>Support</v>
      </c>
      <c r="D110" s="1">
        <f>INDEX([1]Sheet1!$D$1:$D$201,MATCH(Table1[[#This Row],[EmpID]],[1]Sheet1!$A$1:$A$201,0))</f>
        <v>58000</v>
      </c>
      <c r="E110" s="8">
        <f>INDEX([1]Sheet1!$E$1:$E$201,MATCH(Table1[[#This Row],[EmpID]],[1]Sheet1!$A$1:$A$201,0))</f>
        <v>42380</v>
      </c>
      <c r="F110" s="10" t="str">
        <f>INDEX('[1]Sheet5 (2)'!$A$1:$A$201,MATCH(Table1[[#This Row],[EmpID]],'[1]Sheet5 (2)'!$D$1:$D$201,0))</f>
        <v>9 Athwagate</v>
      </c>
    </row>
    <row r="111" spans="1:6" x14ac:dyDescent="0.3">
      <c r="A111" s="2" t="s">
        <v>223</v>
      </c>
      <c r="B111" s="1" t="s">
        <v>224</v>
      </c>
      <c r="C111" s="1" t="str">
        <f>INDEX([1]Sheet1!$C$1:$C$201,MATCH(Table1[[#This Row],[EmpID]],[1]Sheet1!$A$1:$A$201,0))</f>
        <v>Admin</v>
      </c>
      <c r="D111" s="1">
        <f>INDEX([1]Sheet1!$D$1:$D$201,MATCH(Table1[[#This Row],[EmpID]],[1]Sheet1!$A$1:$A$201,0))</f>
        <v>45000</v>
      </c>
      <c r="E111" s="8">
        <f>INDEX([1]Sheet1!$E$1:$E$201,MATCH(Table1[[#This Row],[EmpID]],[1]Sheet1!$A$1:$A$201,0))</f>
        <v>42328</v>
      </c>
      <c r="F111" s="10" t="str">
        <f>INDEX('[1]Sheet5 (2)'!$A$1:$A$201,MATCH(Table1[[#This Row],[EmpID]],'[1]Sheet5 (2)'!$D$1:$D$201,0))</f>
        <v>2 Sama Road</v>
      </c>
    </row>
    <row r="112" spans="1:6" x14ac:dyDescent="0.3">
      <c r="A112" s="2" t="s">
        <v>225</v>
      </c>
      <c r="B112" s="1" t="s">
        <v>226</v>
      </c>
      <c r="C112" s="1" t="str">
        <f>INDEX([1]Sheet1!$C$1:$C$201,MATCH(Table1[[#This Row],[EmpID]],[1]Sheet1!$A$1:$A$201,0))</f>
        <v>Sales</v>
      </c>
      <c r="D112" s="1">
        <f>INDEX([1]Sheet1!$D$1:$D$201,MATCH(Table1[[#This Row],[EmpID]],[1]Sheet1!$A$1:$A$201,0))</f>
        <v>80000</v>
      </c>
      <c r="E112" s="8">
        <f>INDEX([1]Sheet1!$E$1:$E$201,MATCH(Table1[[#This Row],[EmpID]],[1]Sheet1!$A$1:$A$201,0))</f>
        <v>43433</v>
      </c>
      <c r="F112" s="10" t="str">
        <f>INDEX('[1]Sheet5 (2)'!$A$1:$A$201,MATCH(Table1[[#This Row],[EmpID]],'[1]Sheet5 (2)'!$D$1:$D$201,0))</f>
        <v>12 Arera Hills</v>
      </c>
    </row>
    <row r="113" spans="1:6" x14ac:dyDescent="0.3">
      <c r="A113" s="2" t="s">
        <v>227</v>
      </c>
      <c r="B113" s="1" t="s">
        <v>228</v>
      </c>
      <c r="C113" s="1" t="str">
        <f>INDEX([1]Sheet1!$C$1:$C$201,MATCH(Table1[[#This Row],[EmpID]],[1]Sheet1!$A$1:$A$201,0))</f>
        <v>HR</v>
      </c>
      <c r="D113" s="1">
        <f>INDEX([1]Sheet1!$D$1:$D$201,MATCH(Table1[[#This Row],[EmpID]],[1]Sheet1!$A$1:$A$201,0))</f>
        <v>54000</v>
      </c>
      <c r="E113" s="8">
        <f>INDEX([1]Sheet1!$E$1:$E$201,MATCH(Table1[[#This Row],[EmpID]],[1]Sheet1!$A$1:$A$201,0))</f>
        <v>42780</v>
      </c>
      <c r="F113" s="10" t="str">
        <f>INDEX('[1]Sheet5 (2)'!$A$1:$A$201,MATCH(Table1[[#This Row],[EmpID]],'[1]Sheet5 (2)'!$D$1:$D$201,0))</f>
        <v>5 MR10 Road</v>
      </c>
    </row>
    <row r="114" spans="1:6" x14ac:dyDescent="0.3">
      <c r="A114" s="2" t="s">
        <v>229</v>
      </c>
      <c r="B114" s="1" t="s">
        <v>230</v>
      </c>
      <c r="C114" s="1" t="str">
        <f>INDEX([1]Sheet1!$C$1:$C$201,MATCH(Table1[[#This Row],[EmpID]],[1]Sheet1!$A$1:$A$201,0))</f>
        <v>IT</v>
      </c>
      <c r="D114" s="1">
        <f>INDEX([1]Sheet1!$D$1:$D$201,MATCH(Table1[[#This Row],[EmpID]],[1]Sheet1!$A$1:$A$201,0))</f>
        <v>47000</v>
      </c>
      <c r="E114" s="8">
        <f>INDEX([1]Sheet1!$E$1:$E$201,MATCH(Table1[[#This Row],[EmpID]],[1]Sheet1!$A$1:$A$201,0))</f>
        <v>44411</v>
      </c>
      <c r="F114" s="10" t="str">
        <f>INDEX('[1]Sheet5 (2)'!$A$1:$A$201,MATCH(Table1[[#This Row],[EmpID]],'[1]Sheet5 (2)'!$D$1:$D$201,0))</f>
        <v>18 Bailey Road</v>
      </c>
    </row>
    <row r="115" spans="1:6" x14ac:dyDescent="0.3">
      <c r="A115" s="2" t="s">
        <v>231</v>
      </c>
      <c r="B115" s="1" t="s">
        <v>232</v>
      </c>
      <c r="C115" s="1" t="str">
        <f>INDEX([1]Sheet1!$C$1:$C$201,MATCH(Table1[[#This Row],[EmpID]],[1]Sheet1!$A$1:$A$201,0))</f>
        <v>Finance</v>
      </c>
      <c r="D115" s="1">
        <f>INDEX([1]Sheet1!$D$1:$D$201,MATCH(Table1[[#This Row],[EmpID]],[1]Sheet1!$A$1:$A$201,0))</f>
        <v>90000</v>
      </c>
      <c r="E115" s="8">
        <f>INDEX([1]Sheet1!$E$1:$E$201,MATCH(Table1[[#This Row],[EmpID]],[1]Sheet1!$A$1:$A$201,0))</f>
        <v>42451</v>
      </c>
      <c r="F115" s="10" t="str">
        <f>INDEX('[1]Sheet5 (2)'!$A$1:$A$201,MATCH(Table1[[#This Row],[EmpID]],'[1]Sheet5 (2)'!$D$1:$D$201,0))</f>
        <v>7 Doranda Road</v>
      </c>
    </row>
    <row r="116" spans="1:6" x14ac:dyDescent="0.3">
      <c r="A116" s="2" t="s">
        <v>233</v>
      </c>
      <c r="B116" s="1" t="s">
        <v>234</v>
      </c>
      <c r="C116" s="1" t="str">
        <f>INDEX([1]Sheet1!$C$1:$C$201,MATCH(Table1[[#This Row],[EmpID]],[1]Sheet1!$A$1:$A$201,0))</f>
        <v>Marketing</v>
      </c>
      <c r="D116" s="1">
        <f>INDEX([1]Sheet1!$D$1:$D$201,MATCH(Table1[[#This Row],[EmpID]],[1]Sheet1!$A$1:$A$201,0))</f>
        <v>62000</v>
      </c>
      <c r="E116" s="8">
        <f>INDEX([1]Sheet1!$E$1:$E$201,MATCH(Table1[[#This Row],[EmpID]],[1]Sheet1!$A$1:$A$201,0))</f>
        <v>43496</v>
      </c>
      <c r="F116" s="10" t="str">
        <f>INDEX('[1]Sheet5 (2)'!$A$1:$A$201,MATCH(Table1[[#This Row],[EmpID]],'[1]Sheet5 (2)'!$D$1:$D$201,0))</f>
        <v>4 Rasulgarh</v>
      </c>
    </row>
    <row r="117" spans="1:6" x14ac:dyDescent="0.3">
      <c r="A117" s="2" t="s">
        <v>235</v>
      </c>
      <c r="B117" s="1" t="s">
        <v>236</v>
      </c>
      <c r="C117" s="1" t="str">
        <f>INDEX([1]Sheet1!$C$1:$C$201,MATCH(Table1[[#This Row],[EmpID]],[1]Sheet1!$A$1:$A$201,0))</f>
        <v>Operations</v>
      </c>
      <c r="D117" s="1">
        <f>INDEX([1]Sheet1!$D$1:$D$201,MATCH(Table1[[#This Row],[EmpID]],[1]Sheet1!$A$1:$A$201,0))</f>
        <v>73000</v>
      </c>
      <c r="E117" s="8">
        <f>INDEX([1]Sheet1!$E$1:$E$201,MATCH(Table1[[#This Row],[EmpID]],[1]Sheet1!$A$1:$A$201,0))</f>
        <v>44086</v>
      </c>
      <c r="F117" s="10" t="str">
        <f>INDEX('[1]Sheet5 (2)'!$A$1:$A$201,MATCH(Table1[[#This Row],[EmpID]],'[1]Sheet5 (2)'!$D$1:$D$201,0))</f>
        <v>10 Gandhipuram</v>
      </c>
    </row>
    <row r="118" spans="1:6" x14ac:dyDescent="0.3">
      <c r="A118" s="2" t="s">
        <v>237</v>
      </c>
      <c r="B118" s="1" t="s">
        <v>238</v>
      </c>
      <c r="C118" s="1" t="str">
        <f>INDEX([1]Sheet1!$C$1:$C$201,MATCH(Table1[[#This Row],[EmpID]],[1]Sheet1!$A$1:$A$201,0))</f>
        <v>Legal</v>
      </c>
      <c r="D118" s="1">
        <f>INDEX([1]Sheet1!$D$1:$D$201,MATCH(Table1[[#This Row],[EmpID]],[1]Sheet1!$A$1:$A$201,0))</f>
        <v>56000</v>
      </c>
      <c r="E118" s="8">
        <f>INDEX([1]Sheet1!$E$1:$E$201,MATCH(Table1[[#This Row],[EmpID]],[1]Sheet1!$A$1:$A$201,0))</f>
        <v>42125</v>
      </c>
      <c r="F118" s="10" t="str">
        <f>INDEX('[1]Sheet5 (2)'!$A$1:$A$201,MATCH(Table1[[#This Row],[EmpID]],'[1]Sheet5 (2)'!$D$1:$D$201,0))</f>
        <v>6 Fort Kochi</v>
      </c>
    </row>
    <row r="119" spans="1:6" x14ac:dyDescent="0.3">
      <c r="A119" s="2" t="s">
        <v>239</v>
      </c>
      <c r="B119" s="1" t="s">
        <v>240</v>
      </c>
      <c r="C119" s="1" t="str">
        <f>INDEX([1]Sheet1!$C$1:$C$201,MATCH(Table1[[#This Row],[EmpID]],[1]Sheet1!$A$1:$A$201,0))</f>
        <v>R&amp;D</v>
      </c>
      <c r="D119" s="1">
        <f>INDEX([1]Sheet1!$D$1:$D$201,MATCH(Table1[[#This Row],[EmpID]],[1]Sheet1!$A$1:$A$201,0))</f>
        <v>67000</v>
      </c>
      <c r="E119" s="8">
        <f>INDEX([1]Sheet1!$E$1:$E$201,MATCH(Table1[[#This Row],[EmpID]],[1]Sheet1!$A$1:$A$201,0))</f>
        <v>43393</v>
      </c>
      <c r="F119" s="10" t="str">
        <f>INDEX('[1]Sheet5 (2)'!$A$1:$A$201,MATCH(Table1[[#This Row],[EmpID]],'[1]Sheet5 (2)'!$D$1:$D$201,0))</f>
        <v>21 Pattom</v>
      </c>
    </row>
    <row r="120" spans="1:6" x14ac:dyDescent="0.3">
      <c r="A120" s="2" t="s">
        <v>241</v>
      </c>
      <c r="B120" s="1" t="s">
        <v>242</v>
      </c>
      <c r="C120" s="1" t="str">
        <f>INDEX([1]Sheet1!$C$1:$C$201,MATCH(Table1[[#This Row],[EmpID]],[1]Sheet1!$A$1:$A$201,0))</f>
        <v>Support</v>
      </c>
      <c r="D120" s="1">
        <f>INDEX([1]Sheet1!$D$1:$D$201,MATCH(Table1[[#This Row],[EmpID]],[1]Sheet1!$A$1:$A$201,0))</f>
        <v>71000</v>
      </c>
      <c r="E120" s="8">
        <f>INDEX([1]Sheet1!$E$1:$E$201,MATCH(Table1[[#This Row],[EmpID]],[1]Sheet1!$A$1:$A$201,0))</f>
        <v>44872</v>
      </c>
      <c r="F120" s="10" t="str">
        <f>INDEX('[1]Sheet5 (2)'!$A$1:$A$201,MATCH(Table1[[#This Row],[EmpID]],'[1]Sheet5 (2)'!$D$1:$D$201,0))</f>
        <v>8 Nazarbad Road</v>
      </c>
    </row>
    <row r="121" spans="1:6" x14ac:dyDescent="0.3">
      <c r="A121" s="2" t="s">
        <v>243</v>
      </c>
      <c r="B121" s="1" t="s">
        <v>244</v>
      </c>
      <c r="C121" s="1" t="str">
        <f>INDEX([1]Sheet1!$C$1:$C$201,MATCH(Table1[[#This Row],[EmpID]],[1]Sheet1!$A$1:$A$201,0))</f>
        <v>Admin</v>
      </c>
      <c r="D121" s="1">
        <f>INDEX([1]Sheet1!$D$1:$D$201,MATCH(Table1[[#This Row],[EmpID]],[1]Sheet1!$A$1:$A$201,0))</f>
        <v>64000</v>
      </c>
      <c r="E121" s="8">
        <f>INDEX([1]Sheet1!$E$1:$E$201,MATCH(Table1[[#This Row],[EmpID]],[1]Sheet1!$A$1:$A$201,0))</f>
        <v>42851</v>
      </c>
      <c r="F121" s="10" t="str">
        <f>INDEX('[1]Sheet5 (2)'!$A$1:$A$201,MATCH(Table1[[#This Row],[EmpID]],'[1]Sheet5 (2)'!$D$1:$D$201,0))</f>
        <v>14 Dharampeth</v>
      </c>
    </row>
    <row r="122" spans="1:6" x14ac:dyDescent="0.3">
      <c r="A122" s="2" t="s">
        <v>245</v>
      </c>
      <c r="B122" s="1" t="s">
        <v>246</v>
      </c>
      <c r="C122" s="1" t="str">
        <f>INDEX([1]Sheet1!$C$1:$C$201,MATCH(Table1[[#This Row],[EmpID]],[1]Sheet1!$A$1:$A$201,0))</f>
        <v>Sales</v>
      </c>
      <c r="D122" s="1">
        <f>INDEX([1]Sheet1!$D$1:$D$201,MATCH(Table1[[#This Row],[EmpID]],[1]Sheet1!$A$1:$A$201,0))</f>
        <v>52000</v>
      </c>
      <c r="E122" s="8">
        <f>INDEX([1]Sheet1!$E$1:$E$201,MATCH(Table1[[#This Row],[EmpID]],[1]Sheet1!$A$1:$A$201,0))</f>
        <v>43784</v>
      </c>
      <c r="F122" s="10" t="str">
        <f>INDEX('[1]Sheet5 (2)'!$A$1:$A$201,MATCH(Table1[[#This Row],[EmpID]],'[1]Sheet5 (2)'!$D$1:$D$201,0))</f>
        <v>3 College Road</v>
      </c>
    </row>
    <row r="123" spans="1:6" x14ac:dyDescent="0.3">
      <c r="A123" s="2" t="s">
        <v>247</v>
      </c>
      <c r="B123" s="1" t="s">
        <v>248</v>
      </c>
      <c r="C123" s="1" t="str">
        <f>INDEX([1]Sheet1!$C$1:$C$201,MATCH(Table1[[#This Row],[EmpID]],[1]Sheet1!$A$1:$A$201,0))</f>
        <v>HR</v>
      </c>
      <c r="D123" s="1">
        <f>INDEX([1]Sheet1!$D$1:$D$201,MATCH(Table1[[#This Row],[EmpID]],[1]Sheet1!$A$1:$A$201,0))</f>
        <v>48000</v>
      </c>
      <c r="E123" s="8">
        <f>INDEX([1]Sheet1!$E$1:$E$201,MATCH(Table1[[#This Row],[EmpID]],[1]Sheet1!$A$1:$A$201,0))</f>
        <v>44072</v>
      </c>
      <c r="F123" s="10" t="str">
        <f>INDEX('[1]Sheet5 (2)'!$A$1:$A$201,MATCH(Table1[[#This Row],[EmpID]],'[1]Sheet5 (2)'!$D$1:$D$201,0))</f>
        <v>11 Sardarpura</v>
      </c>
    </row>
    <row r="124" spans="1:6" x14ac:dyDescent="0.3">
      <c r="A124" s="2" t="s">
        <v>249</v>
      </c>
      <c r="B124" s="1" t="s">
        <v>250</v>
      </c>
      <c r="C124" s="1" t="str">
        <f>INDEX([1]Sheet1!$C$1:$C$201,MATCH(Table1[[#This Row],[EmpID]],[1]Sheet1!$A$1:$A$201,0))</f>
        <v>IT</v>
      </c>
      <c r="D124" s="1">
        <f>INDEX([1]Sheet1!$D$1:$D$201,MATCH(Table1[[#This Row],[EmpID]],[1]Sheet1!$A$1:$A$201,0))</f>
        <v>75000</v>
      </c>
      <c r="E124" s="8">
        <f>INDEX([1]Sheet1!$E$1:$E$201,MATCH(Table1[[#This Row],[EmpID]],[1]Sheet1!$A$1:$A$201,0))</f>
        <v>43164</v>
      </c>
      <c r="F124" s="10" t="str">
        <f>INDEX('[1]Sheet5 (2)'!$A$1:$A$201,MATCH(Table1[[#This Row],[EmpID]],'[1]Sheet5 (2)'!$D$1:$D$201,0))</f>
        <v>9 Dewali</v>
      </c>
    </row>
    <row r="125" spans="1:6" x14ac:dyDescent="0.3">
      <c r="A125" s="2" t="s">
        <v>251</v>
      </c>
      <c r="B125" s="1" t="s">
        <v>252</v>
      </c>
      <c r="C125" s="1" t="str">
        <f>INDEX([1]Sheet1!$C$1:$C$201,MATCH(Table1[[#This Row],[EmpID]],[1]Sheet1!$A$1:$A$201,0))</f>
        <v>Finance</v>
      </c>
      <c r="D125" s="1">
        <f>INDEX([1]Sheet1!$D$1:$D$201,MATCH(Table1[[#This Row],[EmpID]],[1]Sheet1!$A$1:$A$201,0))</f>
        <v>61000</v>
      </c>
      <c r="E125" s="8">
        <f>INDEX([1]Sheet1!$E$1:$E$201,MATCH(Table1[[#This Row],[EmpID]],[1]Sheet1!$A$1:$A$201,0))</f>
        <v>44337</v>
      </c>
      <c r="F125" s="10" t="str">
        <f>INDEX('[1]Sheet5 (2)'!$A$1:$A$201,MATCH(Table1[[#This Row],[EmpID]],'[1]Sheet5 (2)'!$D$1:$D$201,0))</f>
        <v>6 Sanjay Place</v>
      </c>
    </row>
    <row r="126" spans="1:6" x14ac:dyDescent="0.3">
      <c r="A126" s="2" t="s">
        <v>253</v>
      </c>
      <c r="B126" s="1" t="s">
        <v>254</v>
      </c>
      <c r="C126" s="1" t="str">
        <f>INDEX([1]Sheet1!$C$1:$C$201,MATCH(Table1[[#This Row],[EmpID]],[1]Sheet1!$A$1:$A$201,0))</f>
        <v>Marketing</v>
      </c>
      <c r="D126" s="1">
        <f>INDEX([1]Sheet1!$D$1:$D$201,MATCH(Table1[[#This Row],[EmpID]],[1]Sheet1!$A$1:$A$201,0))</f>
        <v>69000</v>
      </c>
      <c r="E126" s="8">
        <f>INDEX([1]Sheet1!$E$1:$E$201,MATCH(Table1[[#This Row],[EmpID]],[1]Sheet1!$A$1:$A$201,0))</f>
        <v>42986</v>
      </c>
      <c r="F126" s="10" t="str">
        <f>INDEX('[1]Sheet5 (2)'!$A$1:$A$201,MATCH(Table1[[#This Row],[EmpID]],'[1]Sheet5 (2)'!$D$1:$D$201,0))</f>
        <v>22 Lanka Road</v>
      </c>
    </row>
    <row r="127" spans="1:6" x14ac:dyDescent="0.3">
      <c r="A127" s="2" t="s">
        <v>255</v>
      </c>
      <c r="B127" s="1" t="s">
        <v>256</v>
      </c>
      <c r="C127" s="1" t="str">
        <f>INDEX([1]Sheet1!$C$1:$C$201,MATCH(Table1[[#This Row],[EmpID]],[1]Sheet1!$A$1:$A$201,0))</f>
        <v>Operations</v>
      </c>
      <c r="D127" s="1">
        <f>INDEX([1]Sheet1!$D$1:$D$201,MATCH(Table1[[#This Row],[EmpID]],[1]Sheet1!$A$1:$A$201,0))</f>
        <v>72000</v>
      </c>
      <c r="E127" s="8">
        <f>INDEX([1]Sheet1!$E$1:$E$201,MATCH(Table1[[#This Row],[EmpID]],[1]Sheet1!$A$1:$A$201,0))</f>
        <v>44594</v>
      </c>
      <c r="F127" s="10" t="str">
        <f>INDEX('[1]Sheet5 (2)'!$A$1:$A$201,MATCH(Table1[[#This Row],[EmpID]],'[1]Sheet5 (2)'!$D$1:$D$201,0))</f>
        <v>5 Shastri Nagar</v>
      </c>
    </row>
    <row r="128" spans="1:6" x14ac:dyDescent="0.3">
      <c r="A128" s="2" t="s">
        <v>257</v>
      </c>
      <c r="B128" s="1" t="s">
        <v>258</v>
      </c>
      <c r="C128" s="1" t="str">
        <f>INDEX([1]Sheet1!$C$1:$C$201,MATCH(Table1[[#This Row],[EmpID]],[1]Sheet1!$A$1:$A$201,0))</f>
        <v>Legal</v>
      </c>
      <c r="D128" s="1">
        <f>INDEX([1]Sheet1!$D$1:$D$201,MATCH(Table1[[#This Row],[EmpID]],[1]Sheet1!$A$1:$A$201,0))</f>
        <v>50000</v>
      </c>
      <c r="E128" s="8">
        <f>INDEX([1]Sheet1!$E$1:$E$201,MATCH(Table1[[#This Row],[EmpID]],[1]Sheet1!$A$1:$A$201,0))</f>
        <v>43633</v>
      </c>
      <c r="F128" s="10" t="str">
        <f>INDEX('[1]Sheet5 (2)'!$A$1:$A$201,MATCH(Table1[[#This Row],[EmpID]],'[1]Sheet5 (2)'!$D$1:$D$201,0))</f>
        <v>18 Ferozepur Road</v>
      </c>
    </row>
    <row r="129" spans="1:6" x14ac:dyDescent="0.3">
      <c r="A129" s="2" t="s">
        <v>259</v>
      </c>
      <c r="B129" s="1" t="s">
        <v>260</v>
      </c>
      <c r="C129" s="1" t="str">
        <f>INDEX([1]Sheet1!$C$1:$C$201,MATCH(Table1[[#This Row],[EmpID]],[1]Sheet1!$A$1:$A$201,0))</f>
        <v>R&amp;D</v>
      </c>
      <c r="D129" s="1">
        <f>INDEX([1]Sheet1!$D$1:$D$201,MATCH(Table1[[#This Row],[EmpID]],[1]Sheet1!$A$1:$A$201,0))</f>
        <v>66000</v>
      </c>
      <c r="E129" s="8">
        <f>INDEX([1]Sheet1!$E$1:$E$201,MATCH(Table1[[#This Row],[EmpID]],[1]Sheet1!$A$1:$A$201,0))</f>
        <v>44127</v>
      </c>
      <c r="F129" s="10" t="str">
        <f>INDEX('[1]Sheet5 (2)'!$A$1:$A$201,MATCH(Table1[[#This Row],[EmpID]],'[1]Sheet5 (2)'!$D$1:$D$201,0))</f>
        <v>7 Lawrence Road</v>
      </c>
    </row>
    <row r="130" spans="1:6" x14ac:dyDescent="0.3">
      <c r="A130" s="2" t="s">
        <v>261</v>
      </c>
      <c r="B130" s="1" t="s">
        <v>262</v>
      </c>
      <c r="C130" s="1" t="str">
        <f>INDEX([1]Sheet1!$C$1:$C$201,MATCH(Table1[[#This Row],[EmpID]],[1]Sheet1!$A$1:$A$201,0))</f>
        <v>Support</v>
      </c>
      <c r="D130" s="1">
        <f>INDEX([1]Sheet1!$D$1:$D$201,MATCH(Table1[[#This Row],[EmpID]],[1]Sheet1!$A$1:$A$201,0))</f>
        <v>58000</v>
      </c>
      <c r="E130" s="8">
        <f>INDEX([1]Sheet1!$E$1:$E$201,MATCH(Table1[[#This Row],[EmpID]],[1]Sheet1!$A$1:$A$201,0))</f>
        <v>42490</v>
      </c>
      <c r="F130" s="10" t="str">
        <f>INDEX('[1]Sheet5 (2)'!$A$1:$A$201,MATCH(Table1[[#This Row],[EmpID]],'[1]Sheet5 (2)'!$D$1:$D$201,0))</f>
        <v>4 Model Town</v>
      </c>
    </row>
    <row r="131" spans="1:6" x14ac:dyDescent="0.3">
      <c r="A131" s="2" t="s">
        <v>263</v>
      </c>
      <c r="B131" s="1" t="s">
        <v>264</v>
      </c>
      <c r="C131" s="1" t="str">
        <f>INDEX([1]Sheet1!$C$1:$C$201,MATCH(Table1[[#This Row],[EmpID]],[1]Sheet1!$A$1:$A$201,0))</f>
        <v>Admin</v>
      </c>
      <c r="D131" s="1">
        <f>INDEX([1]Sheet1!$D$1:$D$201,MATCH(Table1[[#This Row],[EmpID]],[1]Sheet1!$A$1:$A$201,0))</f>
        <v>45000</v>
      </c>
      <c r="E131" s="8">
        <f>INDEX([1]Sheet1!$E$1:$E$201,MATCH(Table1[[#This Row],[EmpID]],[1]Sheet1!$A$1:$A$201,0))</f>
        <v>42192</v>
      </c>
      <c r="F131" s="10" t="str">
        <f>INDEX('[1]Sheet5 (2)'!$A$1:$A$201,MATCH(Table1[[#This Row],[EmpID]],'[1]Sheet5 (2)'!$D$1:$D$201,0))</f>
        <v>12 Rajpur Road</v>
      </c>
    </row>
    <row r="132" spans="1:6" x14ac:dyDescent="0.3">
      <c r="A132" s="2" t="s">
        <v>265</v>
      </c>
      <c r="B132" s="1" t="s">
        <v>266</v>
      </c>
      <c r="C132" s="1" t="str">
        <f>INDEX([1]Sheet1!$C$1:$C$201,MATCH(Table1[[#This Row],[EmpID]],[1]Sheet1!$A$1:$A$201,0))</f>
        <v>Sales</v>
      </c>
      <c r="D132" s="1">
        <f>INDEX([1]Sheet1!$D$1:$D$201,MATCH(Table1[[#This Row],[EmpID]],[1]Sheet1!$A$1:$A$201,0))</f>
        <v>80000</v>
      </c>
      <c r="E132" s="8">
        <f>INDEX([1]Sheet1!$E$1:$E$201,MATCH(Table1[[#This Row],[EmpID]],[1]Sheet1!$A$1:$A$201,0))</f>
        <v>43452</v>
      </c>
      <c r="F132" s="10" t="str">
        <f>INDEX('[1]Sheet5 (2)'!$A$1:$A$201,MATCH(Table1[[#This Row],[EmpID]],'[1]Sheet5 (2)'!$D$1:$D$201,0))</f>
        <v>2 The Mall</v>
      </c>
    </row>
    <row r="133" spans="1:6" x14ac:dyDescent="0.3">
      <c r="A133" s="2" t="s">
        <v>267</v>
      </c>
      <c r="B133" s="1" t="s">
        <v>268</v>
      </c>
      <c r="C133" s="1" t="str">
        <f>INDEX([1]Sheet1!$C$1:$C$201,MATCH(Table1[[#This Row],[EmpID]],[1]Sheet1!$A$1:$A$201,0))</f>
        <v>HR</v>
      </c>
      <c r="D133" s="1">
        <f>INDEX([1]Sheet1!$D$1:$D$201,MATCH(Table1[[#This Row],[EmpID]],[1]Sheet1!$A$1:$A$201,0))</f>
        <v>54000</v>
      </c>
      <c r="E133" s="8">
        <f>INDEX([1]Sheet1!$E$1:$E$201,MATCH(Table1[[#This Row],[EmpID]],[1]Sheet1!$A$1:$A$201,0))</f>
        <v>43040</v>
      </c>
      <c r="F133" s="10" t="str">
        <f>INDEX('[1]Sheet5 (2)'!$A$1:$A$201,MATCH(Table1[[#This Row],[EmpID]],'[1]Sheet5 (2)'!$D$1:$D$201,0))</f>
        <v>9 Lal Chowk</v>
      </c>
    </row>
    <row r="134" spans="1:6" x14ac:dyDescent="0.3">
      <c r="A134" s="2" t="s">
        <v>269</v>
      </c>
      <c r="B134" s="1" t="s">
        <v>270</v>
      </c>
      <c r="C134" s="1" t="str">
        <f>INDEX([1]Sheet1!$C$1:$C$201,MATCH(Table1[[#This Row],[EmpID]],[1]Sheet1!$A$1:$A$201,0))</f>
        <v>IT</v>
      </c>
      <c r="D134" s="1">
        <f>INDEX([1]Sheet1!$D$1:$D$201,MATCH(Table1[[#This Row],[EmpID]],[1]Sheet1!$A$1:$A$201,0))</f>
        <v>47000</v>
      </c>
      <c r="E134" s="8">
        <f>INDEX([1]Sheet1!$E$1:$E$201,MATCH(Table1[[#This Row],[EmpID]],[1]Sheet1!$A$1:$A$201,0))</f>
        <v>44209</v>
      </c>
      <c r="F134" s="10" t="str">
        <f>INDEX('[1]Sheet5 (2)'!$A$1:$A$201,MATCH(Table1[[#This Row],[EmpID]],'[1]Sheet5 (2)'!$D$1:$D$201,0))</f>
        <v>16 GS Road</v>
      </c>
    </row>
    <row r="135" spans="1:6" x14ac:dyDescent="0.3">
      <c r="A135" s="2" t="s">
        <v>271</v>
      </c>
      <c r="B135" s="1" t="s">
        <v>272</v>
      </c>
      <c r="C135" s="1" t="str">
        <f>INDEX([1]Sheet1!$C$1:$C$201,MATCH(Table1[[#This Row],[EmpID]],[1]Sheet1!$A$1:$A$201,0))</f>
        <v>Finance</v>
      </c>
      <c r="D135" s="1">
        <f>INDEX([1]Sheet1!$D$1:$D$201,MATCH(Table1[[#This Row],[EmpID]],[1]Sheet1!$A$1:$A$201,0))</f>
        <v>90000</v>
      </c>
      <c r="E135" s="8">
        <f>INDEX([1]Sheet1!$E$1:$E$201,MATCH(Table1[[#This Row],[EmpID]],[1]Sheet1!$A$1:$A$201,0))</f>
        <v>42606</v>
      </c>
      <c r="F135" s="10" t="str">
        <f>INDEX('[1]Sheet5 (2)'!$A$1:$A$201,MATCH(Table1[[#This Row],[EmpID]],'[1]Sheet5 (2)'!$D$1:$D$201,0))</f>
        <v>5 Thangal Bazar</v>
      </c>
    </row>
    <row r="136" spans="1:6" x14ac:dyDescent="0.3">
      <c r="A136" s="2" t="s">
        <v>273</v>
      </c>
      <c r="B136" s="1" t="s">
        <v>274</v>
      </c>
      <c r="C136" s="1" t="str">
        <f>INDEX([1]Sheet1!$C$1:$C$201,MATCH(Table1[[#This Row],[EmpID]],[1]Sheet1!$A$1:$A$201,0))</f>
        <v>Marketing</v>
      </c>
      <c r="D136" s="1">
        <f>INDEX([1]Sheet1!$D$1:$D$201,MATCH(Table1[[#This Row],[EmpID]],[1]Sheet1!$A$1:$A$201,0))</f>
        <v>62000</v>
      </c>
      <c r="E136" s="8">
        <f>INDEX([1]Sheet1!$E$1:$E$201,MATCH(Table1[[#This Row],[EmpID]],[1]Sheet1!$A$1:$A$201,0))</f>
        <v>43501</v>
      </c>
      <c r="F136" s="10" t="str">
        <f>INDEX('[1]Sheet5 (2)'!$A$1:$A$201,MATCH(Table1[[#This Row],[EmpID]],'[1]Sheet5 (2)'!$D$1:$D$201,0))</f>
        <v>11 VIP Road</v>
      </c>
    </row>
    <row r="137" spans="1:6" x14ac:dyDescent="0.3">
      <c r="A137" s="2" t="s">
        <v>275</v>
      </c>
      <c r="B137" s="1" t="s">
        <v>276</v>
      </c>
      <c r="C137" s="1" t="str">
        <f>INDEX([1]Sheet1!$C$1:$C$201,MATCH(Table1[[#This Row],[EmpID]],[1]Sheet1!$A$1:$A$201,0))</f>
        <v>Operations</v>
      </c>
      <c r="D137" s="1">
        <f>INDEX([1]Sheet1!$D$1:$D$201,MATCH(Table1[[#This Row],[EmpID]],[1]Sheet1!$A$1:$A$201,0))</f>
        <v>73000</v>
      </c>
      <c r="E137" s="8">
        <f>INDEX([1]Sheet1!$E$1:$E$201,MATCH(Table1[[#This Row],[EmpID]],[1]Sheet1!$A$1:$A$201,0))</f>
        <v>44012</v>
      </c>
      <c r="F137" s="10" t="str">
        <f>INDEX('[1]Sheet5 (2)'!$A$1:$A$201,MATCH(Table1[[#This Row],[EmpID]],'[1]Sheet5 (2)'!$D$1:$D$201,0))</f>
        <v>8 Kohima Road</v>
      </c>
    </row>
    <row r="138" spans="1:6" x14ac:dyDescent="0.3">
      <c r="A138" s="2" t="s">
        <v>277</v>
      </c>
      <c r="B138" s="1" t="s">
        <v>278</v>
      </c>
      <c r="C138" s="1" t="str">
        <f>INDEX([1]Sheet1!$C$1:$C$201,MATCH(Table1[[#This Row],[EmpID]],[1]Sheet1!$A$1:$A$201,0))</f>
        <v>Legal</v>
      </c>
      <c r="D138" s="1">
        <f>INDEX([1]Sheet1!$D$1:$D$201,MATCH(Table1[[#This Row],[EmpID]],[1]Sheet1!$A$1:$A$201,0))</f>
        <v>56000</v>
      </c>
      <c r="E138" s="8">
        <f>INDEX([1]Sheet1!$E$1:$E$201,MATCH(Table1[[#This Row],[EmpID]],[1]Sheet1!$A$1:$A$201,0))</f>
        <v>42266</v>
      </c>
      <c r="F138" s="10" t="str">
        <f>INDEX('[1]Sheet5 (2)'!$A$1:$A$201,MATCH(Table1[[#This Row],[EmpID]],'[1]Sheet5 (2)'!$D$1:$D$201,0))</f>
        <v>3 Zarkawt</v>
      </c>
    </row>
    <row r="139" spans="1:6" x14ac:dyDescent="0.3">
      <c r="A139" s="2" t="s">
        <v>279</v>
      </c>
      <c r="B139" s="1" t="s">
        <v>280</v>
      </c>
      <c r="C139" s="1" t="str">
        <f>INDEX([1]Sheet1!$C$1:$C$201,MATCH(Table1[[#This Row],[EmpID]],[1]Sheet1!$A$1:$A$201,0))</f>
        <v>R&amp;D</v>
      </c>
      <c r="D139" s="1">
        <f>INDEX([1]Sheet1!$D$1:$D$201,MATCH(Table1[[#This Row],[EmpID]],[1]Sheet1!$A$1:$A$201,0))</f>
        <v>67000</v>
      </c>
      <c r="E139" s="8">
        <f>INDEX([1]Sheet1!$E$1:$E$201,MATCH(Table1[[#This Row],[EmpID]],[1]Sheet1!$A$1:$A$201,0))</f>
        <v>43198</v>
      </c>
      <c r="F139" s="10" t="str">
        <f>INDEX('[1]Sheet5 (2)'!$A$1:$A$201,MATCH(Table1[[#This Row],[EmpID]],'[1]Sheet5 (2)'!$D$1:$D$201,0))</f>
        <v>14 Aberdeen Bazaar</v>
      </c>
    </row>
    <row r="140" spans="1:6" x14ac:dyDescent="0.3">
      <c r="A140" s="2" t="s">
        <v>281</v>
      </c>
      <c r="B140" s="1" t="s">
        <v>282</v>
      </c>
      <c r="C140" s="1" t="str">
        <f>INDEX([1]Sheet1!$C$1:$C$201,MATCH(Table1[[#This Row],[EmpID]],[1]Sheet1!$A$1:$A$201,0))</f>
        <v>Support</v>
      </c>
      <c r="D140" s="1">
        <f>INDEX([1]Sheet1!$D$1:$D$201,MATCH(Table1[[#This Row],[EmpID]],[1]Sheet1!$A$1:$A$201,0))</f>
        <v>71000</v>
      </c>
      <c r="E140" s="8">
        <f>INDEX([1]Sheet1!$E$1:$E$201,MATCH(Table1[[#This Row],[EmpID]],[1]Sheet1!$A$1:$A$201,0))</f>
        <v>44805</v>
      </c>
      <c r="F140" s="10" t="str">
        <f>INDEX('[1]Sheet5 (2)'!$A$1:$A$201,MATCH(Table1[[#This Row],[EmpID]],'[1]Sheet5 (2)'!$D$1:$D$201,0))</f>
        <v>10 MG Road</v>
      </c>
    </row>
    <row r="141" spans="1:6" x14ac:dyDescent="0.3">
      <c r="A141" s="2" t="s">
        <v>283</v>
      </c>
      <c r="B141" s="1" t="s">
        <v>284</v>
      </c>
      <c r="C141" s="1" t="str">
        <f>INDEX([1]Sheet1!$C$1:$C$201,MATCH(Table1[[#This Row],[EmpID]],[1]Sheet1!$A$1:$A$201,0))</f>
        <v>Admin</v>
      </c>
      <c r="D141" s="1">
        <f>INDEX([1]Sheet1!$D$1:$D$201,MATCH(Table1[[#This Row],[EmpID]],[1]Sheet1!$A$1:$A$201,0))</f>
        <v>64000</v>
      </c>
      <c r="E141" s="8">
        <f>INDEX([1]Sheet1!$E$1:$E$201,MATCH(Table1[[#This Row],[EmpID]],[1]Sheet1!$A$1:$A$201,0))</f>
        <v>43079</v>
      </c>
      <c r="F141" s="10" t="str">
        <f>INDEX('[1]Sheet5 (2)'!$A$1:$A$201,MATCH(Table1[[#This Row],[EmpID]],'[1]Sheet5 (2)'!$D$1:$D$201,0))</f>
        <v>26 Park Street</v>
      </c>
    </row>
    <row r="142" spans="1:6" x14ac:dyDescent="0.3">
      <c r="A142" s="2" t="s">
        <v>285</v>
      </c>
      <c r="B142" s="1" t="s">
        <v>286</v>
      </c>
      <c r="C142" s="1" t="str">
        <f>INDEX([1]Sheet1!$C$1:$C$201,MATCH(Table1[[#This Row],[EmpID]],[1]Sheet1!$A$1:$A$201,0))</f>
        <v>Sales</v>
      </c>
      <c r="D142" s="1">
        <f>INDEX([1]Sheet1!$D$1:$D$201,MATCH(Table1[[#This Row],[EmpID]],[1]Sheet1!$A$1:$A$201,0))</f>
        <v>52000</v>
      </c>
      <c r="E142" s="8">
        <f>INDEX([1]Sheet1!$E$1:$E$201,MATCH(Table1[[#This Row],[EmpID]],[1]Sheet1!$A$1:$A$201,0))</f>
        <v>43557</v>
      </c>
      <c r="F142" s="10" t="str">
        <f>INDEX('[1]Sheet5 (2)'!$A$1:$A$201,MATCH(Table1[[#This Row],[EmpID]],'[1]Sheet5 (2)'!$D$1:$D$201,0))</f>
        <v>4 Brigade Road</v>
      </c>
    </row>
    <row r="143" spans="1:6" x14ac:dyDescent="0.3">
      <c r="A143" s="2" t="s">
        <v>287</v>
      </c>
      <c r="B143" s="1" t="s">
        <v>288</v>
      </c>
      <c r="C143" s="1" t="str">
        <f>INDEX([1]Sheet1!$C$1:$C$201,MATCH(Table1[[#This Row],[EmpID]],[1]Sheet1!$A$1:$A$201,0))</f>
        <v>HR</v>
      </c>
      <c r="D143" s="1">
        <f>INDEX([1]Sheet1!$D$1:$D$201,MATCH(Table1[[#This Row],[EmpID]],[1]Sheet1!$A$1:$A$201,0))</f>
        <v>48000</v>
      </c>
      <c r="E143" s="8">
        <f>INDEX([1]Sheet1!$E$1:$E$201,MATCH(Table1[[#This Row],[EmpID]],[1]Sheet1!$A$1:$A$201,0))</f>
        <v>43872</v>
      </c>
      <c r="F143" s="10" t="str">
        <f>INDEX('[1]Sheet5 (2)'!$A$1:$A$201,MATCH(Table1[[#This Row],[EmpID]],'[1]Sheet5 (2)'!$D$1:$D$201,0))</f>
        <v>19 Anna Salai</v>
      </c>
    </row>
    <row r="144" spans="1:6" x14ac:dyDescent="0.3">
      <c r="A144" s="2" t="s">
        <v>289</v>
      </c>
      <c r="B144" s="1" t="s">
        <v>290</v>
      </c>
      <c r="C144" s="1" t="str">
        <f>INDEX([1]Sheet1!$C$1:$C$201,MATCH(Table1[[#This Row],[EmpID]],[1]Sheet1!$A$1:$A$201,0))</f>
        <v>IT</v>
      </c>
      <c r="D144" s="1">
        <f>INDEX([1]Sheet1!$D$1:$D$201,MATCH(Table1[[#This Row],[EmpID]],[1]Sheet1!$A$1:$A$201,0))</f>
        <v>75000</v>
      </c>
      <c r="E144" s="8">
        <f>INDEX([1]Sheet1!$E$1:$E$201,MATCH(Table1[[#This Row],[EmpID]],[1]Sheet1!$A$1:$A$201,0))</f>
        <v>43307</v>
      </c>
      <c r="F144" s="10" t="str">
        <f>INDEX('[1]Sheet5 (2)'!$A$1:$A$201,MATCH(Table1[[#This Row],[EmpID]],'[1]Sheet5 (2)'!$D$1:$D$201,0))</f>
        <v>33 Marine Drive</v>
      </c>
    </row>
    <row r="145" spans="1:6" x14ac:dyDescent="0.3">
      <c r="A145" s="2" t="s">
        <v>291</v>
      </c>
      <c r="B145" s="1" t="s">
        <v>292</v>
      </c>
      <c r="C145" s="1" t="str">
        <f>INDEX([1]Sheet1!$C$1:$C$201,MATCH(Table1[[#This Row],[EmpID]],[1]Sheet1!$A$1:$A$201,0))</f>
        <v>Finance</v>
      </c>
      <c r="D145" s="1">
        <f>INDEX([1]Sheet1!$D$1:$D$201,MATCH(Table1[[#This Row],[EmpID]],[1]Sheet1!$A$1:$A$201,0))</f>
        <v>61000</v>
      </c>
      <c r="E145" s="8">
        <f>INDEX([1]Sheet1!$E$1:$E$201,MATCH(Table1[[#This Row],[EmpID]],[1]Sheet1!$A$1:$A$201,0))</f>
        <v>44484</v>
      </c>
      <c r="F145" s="10" t="str">
        <f>INDEX('[1]Sheet5 (2)'!$A$1:$A$201,MATCH(Table1[[#This Row],[EmpID]],'[1]Sheet5 (2)'!$D$1:$D$201,0))</f>
        <v>15 Koregaon Park</v>
      </c>
    </row>
    <row r="146" spans="1:6" x14ac:dyDescent="0.3">
      <c r="A146" s="2" t="s">
        <v>293</v>
      </c>
      <c r="B146" s="1" t="s">
        <v>294</v>
      </c>
      <c r="C146" s="1" t="str">
        <f>INDEX([1]Sheet1!$C$1:$C$201,MATCH(Table1[[#This Row],[EmpID]],[1]Sheet1!$A$1:$A$201,0))</f>
        <v>Marketing</v>
      </c>
      <c r="D146" s="1">
        <f>INDEX([1]Sheet1!$D$1:$D$201,MATCH(Table1[[#This Row],[EmpID]],[1]Sheet1!$A$1:$A$201,0))</f>
        <v>69000</v>
      </c>
      <c r="E146" s="8">
        <f>INDEX([1]Sheet1!$E$1:$E$201,MATCH(Table1[[#This Row],[EmpID]],[1]Sheet1!$A$1:$A$201,0))</f>
        <v>42879</v>
      </c>
      <c r="F146" s="10" t="str">
        <f>INDEX('[1]Sheet5 (2)'!$A$1:$A$201,MATCH(Table1[[#This Row],[EmpID]],'[1]Sheet5 (2)'!$D$1:$D$201,0))</f>
        <v>6 Banjara Hills</v>
      </c>
    </row>
    <row r="147" spans="1:6" x14ac:dyDescent="0.3">
      <c r="A147" s="2" t="s">
        <v>295</v>
      </c>
      <c r="B147" s="1" t="s">
        <v>296</v>
      </c>
      <c r="C147" s="1" t="str">
        <f>INDEX([1]Sheet1!$C$1:$C$201,MATCH(Table1[[#This Row],[EmpID]],[1]Sheet1!$A$1:$A$201,0))</f>
        <v>Operations</v>
      </c>
      <c r="D147" s="1">
        <f>INDEX([1]Sheet1!$D$1:$D$201,MATCH(Table1[[#This Row],[EmpID]],[1]Sheet1!$A$1:$A$201,0))</f>
        <v>72000</v>
      </c>
      <c r="E147" s="8">
        <f>INDEX([1]Sheet1!$E$1:$E$201,MATCH(Table1[[#This Row],[EmpID]],[1]Sheet1!$A$1:$A$201,0))</f>
        <v>44623</v>
      </c>
      <c r="F147" s="10" t="str">
        <f>INDEX('[1]Sheet5 (2)'!$A$1:$A$201,MATCH(Table1[[#This Row],[EmpID]],'[1]Sheet5 (2)'!$D$1:$D$201,0))</f>
        <v>9 CG Road</v>
      </c>
    </row>
    <row r="148" spans="1:6" x14ac:dyDescent="0.3">
      <c r="A148" s="2" t="s">
        <v>297</v>
      </c>
      <c r="B148" s="1" t="s">
        <v>298</v>
      </c>
      <c r="C148" s="1" t="str">
        <f>INDEX([1]Sheet1!$C$1:$C$201,MATCH(Table1[[#This Row],[EmpID]],[1]Sheet1!$A$1:$A$201,0))</f>
        <v>Legal</v>
      </c>
      <c r="D148" s="1">
        <f>INDEX([1]Sheet1!$D$1:$D$201,MATCH(Table1[[#This Row],[EmpID]],[1]Sheet1!$A$1:$A$201,0))</f>
        <v>50000</v>
      </c>
      <c r="E148" s="8">
        <f>INDEX([1]Sheet1!$E$1:$E$201,MATCH(Table1[[#This Row],[EmpID]],[1]Sheet1!$A$1:$A$201,0))</f>
        <v>43485</v>
      </c>
      <c r="F148" s="10" t="str">
        <f>INDEX('[1]Sheet5 (2)'!$A$1:$A$201,MATCH(Table1[[#This Row],[EmpID]],'[1]Sheet5 (2)'!$D$1:$D$201,0))</f>
        <v>12 Hazratganj</v>
      </c>
    </row>
    <row r="149" spans="1:6" x14ac:dyDescent="0.3">
      <c r="A149" s="2" t="s">
        <v>299</v>
      </c>
      <c r="B149" s="1" t="s">
        <v>300</v>
      </c>
      <c r="C149" s="1" t="str">
        <f>INDEX([1]Sheet1!$C$1:$C$201,MATCH(Table1[[#This Row],[EmpID]],[1]Sheet1!$A$1:$A$201,0))</f>
        <v>R&amp;D</v>
      </c>
      <c r="D149" s="1">
        <f>INDEX([1]Sheet1!$D$1:$D$201,MATCH(Table1[[#This Row],[EmpID]],[1]Sheet1!$A$1:$A$201,0))</f>
        <v>66000</v>
      </c>
      <c r="E149" s="8">
        <f>INDEX([1]Sheet1!$E$1:$E$201,MATCH(Table1[[#This Row],[EmpID]],[1]Sheet1!$A$1:$A$201,0))</f>
        <v>44021</v>
      </c>
      <c r="F149" s="10" t="str">
        <f>INDEX('[1]Sheet5 (2)'!$A$1:$A$201,MATCH(Table1[[#This Row],[EmpID]],'[1]Sheet5 (2)'!$D$1:$D$201,0))</f>
        <v>8 MI Road</v>
      </c>
    </row>
    <row r="150" spans="1:6" x14ac:dyDescent="0.3">
      <c r="A150" s="2" t="s">
        <v>301</v>
      </c>
      <c r="B150" s="1" t="s">
        <v>302</v>
      </c>
      <c r="C150" s="1" t="str">
        <f>INDEX([1]Sheet1!$C$1:$C$201,MATCH(Table1[[#This Row],[EmpID]],[1]Sheet1!$A$1:$A$201,0))</f>
        <v>Support</v>
      </c>
      <c r="D150" s="1">
        <f>INDEX([1]Sheet1!$D$1:$D$201,MATCH(Table1[[#This Row],[EmpID]],[1]Sheet1!$A$1:$A$201,0))</f>
        <v>58000</v>
      </c>
      <c r="E150" s="8">
        <f>INDEX([1]Sheet1!$E$1:$E$201,MATCH(Table1[[#This Row],[EmpID]],[1]Sheet1!$A$1:$A$201,0))</f>
        <v>42671</v>
      </c>
      <c r="F150" s="10" t="str">
        <f>INDEX('[1]Sheet5 (2)'!$A$1:$A$201,MATCH(Table1[[#This Row],[EmpID]],'[1]Sheet5 (2)'!$D$1:$D$201,0))</f>
        <v>21 Sector 17</v>
      </c>
    </row>
    <row r="151" spans="1:6" x14ac:dyDescent="0.3">
      <c r="A151" s="2" t="s">
        <v>303</v>
      </c>
      <c r="B151" s="1" t="s">
        <v>304</v>
      </c>
      <c r="C151" s="1" t="str">
        <f>INDEX([1]Sheet1!$C$1:$C$201,MATCH(Table1[[#This Row],[EmpID]],[1]Sheet1!$A$1:$A$201,0))</f>
        <v>Admin</v>
      </c>
      <c r="D151" s="1">
        <f>INDEX([1]Sheet1!$D$1:$D$201,MATCH(Table1[[#This Row],[EmpID]],[1]Sheet1!$A$1:$A$201,0))</f>
        <v>45000</v>
      </c>
      <c r="E151" s="8">
        <f>INDEX([1]Sheet1!$E$1:$E$201,MATCH(Table1[[#This Row],[EmpID]],[1]Sheet1!$A$1:$A$201,0))</f>
        <v>42075</v>
      </c>
      <c r="F151" s="10" t="str">
        <f>INDEX('[1]Sheet5 (2)'!$A$1:$A$201,MATCH(Table1[[#This Row],[EmpID]],'[1]Sheet5 (2)'!$D$1:$D$201,0))</f>
        <v>5 Udyog Vihar</v>
      </c>
    </row>
    <row r="152" spans="1:6" x14ac:dyDescent="0.3">
      <c r="A152" s="2" t="s">
        <v>305</v>
      </c>
      <c r="B152" s="1" t="s">
        <v>306</v>
      </c>
      <c r="C152" s="1" t="str">
        <f>INDEX([1]Sheet1!$C$1:$C$201,MATCH(Table1[[#This Row],[EmpID]],[1]Sheet1!$A$1:$A$201,0))</f>
        <v>Sales</v>
      </c>
      <c r="D152" s="1">
        <f>INDEX([1]Sheet1!$D$1:$D$201,MATCH(Table1[[#This Row],[EmpID]],[1]Sheet1!$A$1:$A$201,0))</f>
        <v>80000</v>
      </c>
      <c r="E152" s="8">
        <f>INDEX([1]Sheet1!$E$1:$E$201,MATCH(Table1[[#This Row],[EmpID]],[1]Sheet1!$A$1:$A$201,0))</f>
        <v>43221</v>
      </c>
      <c r="F152" s="10" t="str">
        <f>INDEX('[1]Sheet5 (2)'!$A$1:$A$201,MATCH(Table1[[#This Row],[EmpID]],'[1]Sheet5 (2)'!$D$1:$D$201,0))</f>
        <v>17 Sector 18</v>
      </c>
    </row>
    <row r="153" spans="1:6" x14ac:dyDescent="0.3">
      <c r="A153" s="2" t="s">
        <v>307</v>
      </c>
      <c r="B153" s="1" t="s">
        <v>308</v>
      </c>
      <c r="C153" s="1" t="str">
        <f>INDEX([1]Sheet1!$C$1:$C$201,MATCH(Table1[[#This Row],[EmpID]],[1]Sheet1!$A$1:$A$201,0))</f>
        <v>HR</v>
      </c>
      <c r="D153" s="1">
        <f>INDEX([1]Sheet1!$D$1:$D$201,MATCH(Table1[[#This Row],[EmpID]],[1]Sheet1!$A$1:$A$201,0))</f>
        <v>54000</v>
      </c>
      <c r="E153" s="8">
        <f>INDEX([1]Sheet1!$E$1:$E$201,MATCH(Table1[[#This Row],[EmpID]],[1]Sheet1!$A$1:$A$201,0))</f>
        <v>42902</v>
      </c>
      <c r="F153" s="10" t="str">
        <f>INDEX('[1]Sheet5 (2)'!$A$1:$A$201,MATCH(Table1[[#This Row],[EmpID]],'[1]Sheet5 (2)'!$D$1:$D$201,0))</f>
        <v>3 Raj Nagar</v>
      </c>
    </row>
    <row r="154" spans="1:6" x14ac:dyDescent="0.3">
      <c r="A154" s="2" t="s">
        <v>309</v>
      </c>
      <c r="B154" s="1" t="s">
        <v>310</v>
      </c>
      <c r="C154" s="1" t="str">
        <f>INDEX([1]Sheet1!$C$1:$C$201,MATCH(Table1[[#This Row],[EmpID]],[1]Sheet1!$A$1:$A$201,0))</f>
        <v>IT</v>
      </c>
      <c r="D154" s="1">
        <f>INDEX([1]Sheet1!$D$1:$D$201,MATCH(Table1[[#This Row],[EmpID]],[1]Sheet1!$A$1:$A$201,0))</f>
        <v>47000</v>
      </c>
      <c r="E154" s="8">
        <f>INDEX([1]Sheet1!$E$1:$E$201,MATCH(Table1[[#This Row],[EmpID]],[1]Sheet1!$A$1:$A$201,0))</f>
        <v>44231</v>
      </c>
      <c r="F154" s="10" t="str">
        <f>INDEX('[1]Sheet5 (2)'!$A$1:$A$201,MATCH(Table1[[#This Row],[EmpID]],'[1]Sheet5 (2)'!$D$1:$D$201,0))</f>
        <v>11 Indirapuram</v>
      </c>
    </row>
    <row r="155" spans="1:6" x14ac:dyDescent="0.3">
      <c r="A155" s="2" t="s">
        <v>311</v>
      </c>
      <c r="B155" s="1" t="s">
        <v>312</v>
      </c>
      <c r="C155" s="1" t="str">
        <f>INDEX([1]Sheet1!$C$1:$C$201,MATCH(Table1[[#This Row],[EmpID]],[1]Sheet1!$A$1:$A$201,0))</f>
        <v>Finance</v>
      </c>
      <c r="D155" s="1">
        <f>INDEX([1]Sheet1!$D$1:$D$201,MATCH(Table1[[#This Row],[EmpID]],[1]Sheet1!$A$1:$A$201,0))</f>
        <v>90000</v>
      </c>
      <c r="E155" s="8">
        <f>INDEX([1]Sheet1!$E$1:$E$201,MATCH(Table1[[#This Row],[EmpID]],[1]Sheet1!$A$1:$A$201,0))</f>
        <v>42697</v>
      </c>
      <c r="F155" s="10" t="str">
        <f>INDEX('[1]Sheet5 (2)'!$A$1:$A$201,MATCH(Table1[[#This Row],[EmpID]],'[1]Sheet5 (2)'!$D$1:$D$201,0))</f>
        <v>6 Swaroop Nagar</v>
      </c>
    </row>
    <row r="156" spans="1:6" x14ac:dyDescent="0.3">
      <c r="A156" s="2" t="s">
        <v>313</v>
      </c>
      <c r="B156" s="1" t="s">
        <v>314</v>
      </c>
      <c r="C156" s="1" t="str">
        <f>INDEX([1]Sheet1!$C$1:$C$201,MATCH(Table1[[#This Row],[EmpID]],[1]Sheet1!$A$1:$A$201,0))</f>
        <v>Marketing</v>
      </c>
      <c r="D156" s="1">
        <f>INDEX([1]Sheet1!$D$1:$D$201,MATCH(Table1[[#This Row],[EmpID]],[1]Sheet1!$A$1:$A$201,0))</f>
        <v>62000</v>
      </c>
      <c r="E156" s="8">
        <f>INDEX([1]Sheet1!$E$1:$E$201,MATCH(Table1[[#This Row],[EmpID]],[1]Sheet1!$A$1:$A$201,0))</f>
        <v>43689</v>
      </c>
      <c r="F156" s="10" t="str">
        <f>INDEX('[1]Sheet5 (2)'!$A$1:$A$201,MATCH(Table1[[#This Row],[EmpID]],'[1]Sheet5 (2)'!$D$1:$D$201,0))</f>
        <v>9 Athwagate</v>
      </c>
    </row>
    <row r="157" spans="1:6" x14ac:dyDescent="0.3">
      <c r="A157" s="2" t="s">
        <v>315</v>
      </c>
      <c r="B157" s="1" t="s">
        <v>316</v>
      </c>
      <c r="C157" s="1" t="str">
        <f>INDEX([1]Sheet1!$C$1:$C$201,MATCH(Table1[[#This Row],[EmpID]],[1]Sheet1!$A$1:$A$201,0))</f>
        <v>Operations</v>
      </c>
      <c r="D157" s="1">
        <f>INDEX([1]Sheet1!$D$1:$D$201,MATCH(Table1[[#This Row],[EmpID]],[1]Sheet1!$A$1:$A$201,0))</f>
        <v>73000</v>
      </c>
      <c r="E157" s="8">
        <f>INDEX([1]Sheet1!$E$1:$E$201,MATCH(Table1[[#This Row],[EmpID]],[1]Sheet1!$A$1:$A$201,0))</f>
        <v>44194</v>
      </c>
      <c r="F157" s="10" t="str">
        <f>INDEX('[1]Sheet5 (2)'!$A$1:$A$201,MATCH(Table1[[#This Row],[EmpID]],'[1]Sheet5 (2)'!$D$1:$D$201,0))</f>
        <v>14 Sama Road</v>
      </c>
    </row>
    <row r="158" spans="1:6" x14ac:dyDescent="0.3">
      <c r="A158" s="2" t="s">
        <v>317</v>
      </c>
      <c r="B158" s="1" t="s">
        <v>318</v>
      </c>
      <c r="C158" s="1" t="str">
        <f>INDEX([1]Sheet1!$C$1:$C$201,MATCH(Table1[[#This Row],[EmpID]],[1]Sheet1!$A$1:$A$201,0))</f>
        <v>Legal</v>
      </c>
      <c r="D158" s="1">
        <f>INDEX([1]Sheet1!$D$1:$D$201,MATCH(Table1[[#This Row],[EmpID]],[1]Sheet1!$A$1:$A$201,0))</f>
        <v>56000</v>
      </c>
      <c r="E158" s="8">
        <f>INDEX([1]Sheet1!$E$1:$E$201,MATCH(Table1[[#This Row],[EmpID]],[1]Sheet1!$A$1:$A$201,0))</f>
        <v>42011</v>
      </c>
      <c r="F158" s="10" t="str">
        <f>INDEX('[1]Sheet5 (2)'!$A$1:$A$201,MATCH(Table1[[#This Row],[EmpID]],'[1]Sheet5 (2)'!$D$1:$D$201,0))</f>
        <v>7 Arera Hills</v>
      </c>
    </row>
    <row r="159" spans="1:6" x14ac:dyDescent="0.3">
      <c r="A159" s="2" t="s">
        <v>319</v>
      </c>
      <c r="B159" s="1" t="s">
        <v>320</v>
      </c>
      <c r="C159" s="1" t="str">
        <f>INDEX([1]Sheet1!$C$1:$C$201,MATCH(Table1[[#This Row],[EmpID]],[1]Sheet1!$A$1:$A$201,0))</f>
        <v>R&amp;D</v>
      </c>
      <c r="D159" s="1">
        <f>INDEX([1]Sheet1!$D$1:$D$201,MATCH(Table1[[#This Row],[EmpID]],[1]Sheet1!$A$1:$A$201,0))</f>
        <v>67000</v>
      </c>
      <c r="E159" s="8">
        <f>INDEX([1]Sheet1!$E$1:$E$201,MATCH(Table1[[#This Row],[EmpID]],[1]Sheet1!$A$1:$A$201,0))</f>
        <v>43269</v>
      </c>
      <c r="F159" s="10" t="str">
        <f>INDEX('[1]Sheet5 (2)'!$A$1:$A$201,MATCH(Table1[[#This Row],[EmpID]],'[1]Sheet5 (2)'!$D$1:$D$201,0))</f>
        <v>10 MR10 Road</v>
      </c>
    </row>
    <row r="160" spans="1:6" x14ac:dyDescent="0.3">
      <c r="A160" s="2" t="s">
        <v>321</v>
      </c>
      <c r="B160" s="1" t="s">
        <v>322</v>
      </c>
      <c r="C160" s="1" t="str">
        <f>INDEX([1]Sheet1!$C$1:$C$201,MATCH(Table1[[#This Row],[EmpID]],[1]Sheet1!$A$1:$A$201,0))</f>
        <v>Support</v>
      </c>
      <c r="D160" s="1">
        <f>INDEX([1]Sheet1!$D$1:$D$201,MATCH(Table1[[#This Row],[EmpID]],[1]Sheet1!$A$1:$A$201,0))</f>
        <v>71000</v>
      </c>
      <c r="E160" s="8">
        <f>INDEX([1]Sheet1!$E$1:$E$201,MATCH(Table1[[#This Row],[EmpID]],[1]Sheet1!$A$1:$A$201,0))</f>
        <v>44706</v>
      </c>
      <c r="F160" s="10" t="str">
        <f>INDEX('[1]Sheet5 (2)'!$A$1:$A$201,MATCH(Table1[[#This Row],[EmpID]],'[1]Sheet5 (2)'!$D$1:$D$201,0))</f>
        <v>2 Bailey Road</v>
      </c>
    </row>
    <row r="161" spans="1:6" x14ac:dyDescent="0.3">
      <c r="A161" s="2" t="s">
        <v>323</v>
      </c>
      <c r="B161" s="1" t="s">
        <v>324</v>
      </c>
      <c r="C161" s="1" t="str">
        <f>INDEX([1]Sheet1!$C$1:$C$201,MATCH(Table1[[#This Row],[EmpID]],[1]Sheet1!$A$1:$A$201,0))</f>
        <v>Admin</v>
      </c>
      <c r="D161" s="1">
        <f>INDEX([1]Sheet1!$D$1:$D$201,MATCH(Table1[[#This Row],[EmpID]],[1]Sheet1!$A$1:$A$201,0))</f>
        <v>64000</v>
      </c>
      <c r="E161" s="8">
        <f>INDEX([1]Sheet1!$E$1:$E$201,MATCH(Table1[[#This Row],[EmpID]],[1]Sheet1!$A$1:$A$201,0))</f>
        <v>42768</v>
      </c>
      <c r="F161" s="10" t="str">
        <f>INDEX('[1]Sheet5 (2)'!$A$1:$A$201,MATCH(Table1[[#This Row],[EmpID]],'[1]Sheet5 (2)'!$D$1:$D$201,0))</f>
        <v>8 Doranda Road</v>
      </c>
    </row>
    <row r="162" spans="1:6" x14ac:dyDescent="0.3">
      <c r="A162" s="2" t="s">
        <v>325</v>
      </c>
      <c r="B162" s="1" t="s">
        <v>326</v>
      </c>
      <c r="C162" s="1" t="str">
        <f>INDEX([1]Sheet1!$C$1:$C$201,MATCH(Table1[[#This Row],[EmpID]],[1]Sheet1!$A$1:$A$201,0))</f>
        <v>Sales</v>
      </c>
      <c r="D162" s="1">
        <f>INDEX([1]Sheet1!$D$1:$D$201,MATCH(Table1[[#This Row],[EmpID]],[1]Sheet1!$A$1:$A$201,0))</f>
        <v>52000</v>
      </c>
      <c r="E162" s="8">
        <f>INDEX([1]Sheet1!$E$1:$E$201,MATCH(Table1[[#This Row],[EmpID]],[1]Sheet1!$A$1:$A$201,0))</f>
        <v>43758</v>
      </c>
      <c r="F162" s="10" t="str">
        <f>INDEX('[1]Sheet5 (2)'!$A$1:$A$201,MATCH(Table1[[#This Row],[EmpID]],'[1]Sheet5 (2)'!$D$1:$D$201,0))</f>
        <v>13 Rasulgarh</v>
      </c>
    </row>
    <row r="163" spans="1:6" x14ac:dyDescent="0.3">
      <c r="A163" s="2" t="s">
        <v>327</v>
      </c>
      <c r="B163" s="1" t="s">
        <v>328</v>
      </c>
      <c r="C163" s="1" t="str">
        <f>INDEX([1]Sheet1!$C$1:$C$201,MATCH(Table1[[#This Row],[EmpID]],[1]Sheet1!$A$1:$A$201,0))</f>
        <v>HR</v>
      </c>
      <c r="D163" s="1">
        <f>INDEX([1]Sheet1!$D$1:$D$201,MATCH(Table1[[#This Row],[EmpID]],[1]Sheet1!$A$1:$A$201,0))</f>
        <v>48000</v>
      </c>
      <c r="E163" s="8">
        <f>INDEX([1]Sheet1!$E$1:$E$201,MATCH(Table1[[#This Row],[EmpID]],[1]Sheet1!$A$1:$A$201,0))</f>
        <v>43922</v>
      </c>
      <c r="F163" s="10" t="str">
        <f>INDEX('[1]Sheet5 (2)'!$A$1:$A$201,MATCH(Table1[[#This Row],[EmpID]],'[1]Sheet5 (2)'!$D$1:$D$201,0))</f>
        <v>5 Gandhipuram</v>
      </c>
    </row>
    <row r="164" spans="1:6" x14ac:dyDescent="0.3">
      <c r="A164" s="2" t="s">
        <v>329</v>
      </c>
      <c r="B164" s="1" t="s">
        <v>330</v>
      </c>
      <c r="C164" s="1" t="str">
        <f>INDEX([1]Sheet1!$C$1:$C$201,MATCH(Table1[[#This Row],[EmpID]],[1]Sheet1!$A$1:$A$201,0))</f>
        <v>IT</v>
      </c>
      <c r="D164" s="1">
        <f>INDEX([1]Sheet1!$D$1:$D$201,MATCH(Table1[[#This Row],[EmpID]],[1]Sheet1!$A$1:$A$201,0))</f>
        <v>75000</v>
      </c>
      <c r="E164" s="8">
        <f>INDEX([1]Sheet1!$E$1:$E$201,MATCH(Table1[[#This Row],[EmpID]],[1]Sheet1!$A$1:$A$201,0))</f>
        <v>43356</v>
      </c>
      <c r="F164" s="10" t="str">
        <f>INDEX('[1]Sheet5 (2)'!$A$1:$A$201,MATCH(Table1[[#This Row],[EmpID]],'[1]Sheet5 (2)'!$D$1:$D$201,0))</f>
        <v>6 Fort Kochi</v>
      </c>
    </row>
    <row r="165" spans="1:6" x14ac:dyDescent="0.3">
      <c r="A165" s="2" t="s">
        <v>331</v>
      </c>
      <c r="B165" s="1" t="s">
        <v>332</v>
      </c>
      <c r="C165" s="1" t="str">
        <f>INDEX([1]Sheet1!$C$1:$C$201,MATCH(Table1[[#This Row],[EmpID]],[1]Sheet1!$A$1:$A$201,0))</f>
        <v>Finance</v>
      </c>
      <c r="D165" s="1">
        <f>INDEX([1]Sheet1!$D$1:$D$201,MATCH(Table1[[#This Row],[EmpID]],[1]Sheet1!$A$1:$A$201,0))</f>
        <v>61000</v>
      </c>
      <c r="E165" s="8">
        <f>INDEX([1]Sheet1!$E$1:$E$201,MATCH(Table1[[#This Row],[EmpID]],[1]Sheet1!$A$1:$A$201,0))</f>
        <v>44353</v>
      </c>
      <c r="F165" s="10" t="str">
        <f>INDEX('[1]Sheet5 (2)'!$A$1:$A$201,MATCH(Table1[[#This Row],[EmpID]],'[1]Sheet5 (2)'!$D$1:$D$201,0))</f>
        <v>18 Pattom</v>
      </c>
    </row>
    <row r="166" spans="1:6" x14ac:dyDescent="0.3">
      <c r="A166" s="2" t="s">
        <v>333</v>
      </c>
      <c r="B166" s="1" t="s">
        <v>334</v>
      </c>
      <c r="C166" s="1" t="str">
        <f>INDEX([1]Sheet1!$C$1:$C$201,MATCH(Table1[[#This Row],[EmpID]],[1]Sheet1!$A$1:$A$201,0))</f>
        <v>Marketing</v>
      </c>
      <c r="D166" s="1">
        <f>INDEX([1]Sheet1!$D$1:$D$201,MATCH(Table1[[#This Row],[EmpID]],[1]Sheet1!$A$1:$A$201,0))</f>
        <v>69000</v>
      </c>
      <c r="E166" s="8">
        <f>INDEX([1]Sheet1!$E$1:$E$201,MATCH(Table1[[#This Row],[EmpID]],[1]Sheet1!$A$1:$A$201,0))</f>
        <v>43066</v>
      </c>
      <c r="F166" s="10" t="str">
        <f>INDEX('[1]Sheet5 (2)'!$A$1:$A$201,MATCH(Table1[[#This Row],[EmpID]],'[1]Sheet5 (2)'!$D$1:$D$201,0))</f>
        <v>9 Nazarbad Road</v>
      </c>
    </row>
    <row r="167" spans="1:6" x14ac:dyDescent="0.3">
      <c r="A167" s="2" t="s">
        <v>335</v>
      </c>
      <c r="B167" s="1" t="s">
        <v>336</v>
      </c>
      <c r="C167" s="1" t="str">
        <f>INDEX([1]Sheet1!$C$1:$C$201,MATCH(Table1[[#This Row],[EmpID]],[1]Sheet1!$A$1:$A$201,0))</f>
        <v>Operations</v>
      </c>
      <c r="D167" s="1">
        <f>INDEX([1]Sheet1!$D$1:$D$201,MATCH(Table1[[#This Row],[EmpID]],[1]Sheet1!$A$1:$A$201,0))</f>
        <v>72000</v>
      </c>
      <c r="E167" s="8">
        <f>INDEX([1]Sheet1!$E$1:$E$201,MATCH(Table1[[#This Row],[EmpID]],[1]Sheet1!$A$1:$A$201,0))</f>
        <v>44576</v>
      </c>
      <c r="F167" s="10" t="str">
        <f>INDEX('[1]Sheet5 (2)'!$A$1:$A$201,MATCH(Table1[[#This Row],[EmpID]],'[1]Sheet5 (2)'!$D$1:$D$201,0))</f>
        <v>12 Dharampeth</v>
      </c>
    </row>
    <row r="168" spans="1:6" x14ac:dyDescent="0.3">
      <c r="A168" s="2" t="s">
        <v>337</v>
      </c>
      <c r="B168" s="1" t="s">
        <v>338</v>
      </c>
      <c r="C168" s="1" t="str">
        <f>INDEX([1]Sheet1!$C$1:$C$201,MATCH(Table1[[#This Row],[EmpID]],[1]Sheet1!$A$1:$A$201,0))</f>
        <v>Legal</v>
      </c>
      <c r="D168" s="1">
        <f>INDEX([1]Sheet1!$D$1:$D$201,MATCH(Table1[[#This Row],[EmpID]],[1]Sheet1!$A$1:$A$201,0))</f>
        <v>50000</v>
      </c>
      <c r="E168" s="8">
        <f>INDEX([1]Sheet1!$E$1:$E$201,MATCH(Table1[[#This Row],[EmpID]],[1]Sheet1!$A$1:$A$201,0))</f>
        <v>43532</v>
      </c>
      <c r="F168" s="10" t="str">
        <f>INDEX('[1]Sheet5 (2)'!$A$1:$A$201,MATCH(Table1[[#This Row],[EmpID]],'[1]Sheet5 (2)'!$D$1:$D$201,0))</f>
        <v>4 College Road</v>
      </c>
    </row>
    <row r="169" spans="1:6" x14ac:dyDescent="0.3">
      <c r="A169" s="2" t="s">
        <v>339</v>
      </c>
      <c r="B169" s="1" t="s">
        <v>340</v>
      </c>
      <c r="C169" s="1" t="str">
        <f>INDEX([1]Sheet1!$C$1:$C$201,MATCH(Table1[[#This Row],[EmpID]],[1]Sheet1!$A$1:$A$201,0))</f>
        <v>R&amp;D</v>
      </c>
      <c r="D169" s="1">
        <f>INDEX([1]Sheet1!$D$1:$D$201,MATCH(Table1[[#This Row],[EmpID]],[1]Sheet1!$A$1:$A$201,0))</f>
        <v>66000</v>
      </c>
      <c r="E169" s="8">
        <f>INDEX([1]Sheet1!$E$1:$E$201,MATCH(Table1[[#This Row],[EmpID]],[1]Sheet1!$A$1:$A$201,0))</f>
        <v>44063</v>
      </c>
      <c r="F169" s="10" t="str">
        <f>INDEX('[1]Sheet5 (2)'!$A$1:$A$201,MATCH(Table1[[#This Row],[EmpID]],'[1]Sheet5 (2)'!$D$1:$D$201,0))</f>
        <v>7 Sardarpura</v>
      </c>
    </row>
    <row r="170" spans="1:6" x14ac:dyDescent="0.3">
      <c r="A170" s="2" t="s">
        <v>341</v>
      </c>
      <c r="B170" s="1" t="s">
        <v>342</v>
      </c>
      <c r="C170" s="1" t="str">
        <f>INDEX([1]Sheet1!$C$1:$C$201,MATCH(Table1[[#This Row],[EmpID]],[1]Sheet1!$A$1:$A$201,0))</f>
        <v>Support</v>
      </c>
      <c r="D170" s="1">
        <f>INDEX([1]Sheet1!$D$1:$D$201,MATCH(Table1[[#This Row],[EmpID]],[1]Sheet1!$A$1:$A$201,0))</f>
        <v>58000</v>
      </c>
      <c r="E170" s="8">
        <f>INDEX([1]Sheet1!$E$1:$E$201,MATCH(Table1[[#This Row],[EmpID]],[1]Sheet1!$A$1:$A$201,0))</f>
        <v>42409</v>
      </c>
      <c r="F170" s="10" t="str">
        <f>INDEX('[1]Sheet5 (2)'!$A$1:$A$201,MATCH(Table1[[#This Row],[EmpID]],'[1]Sheet5 (2)'!$D$1:$D$201,0))</f>
        <v>16 Dewali</v>
      </c>
    </row>
    <row r="171" spans="1:6" x14ac:dyDescent="0.3">
      <c r="A171" s="2" t="s">
        <v>343</v>
      </c>
      <c r="B171" s="1" t="s">
        <v>344</v>
      </c>
      <c r="C171" s="1" t="str">
        <f>INDEX([1]Sheet1!$C$1:$C$201,MATCH(Table1[[#This Row],[EmpID]],[1]Sheet1!$A$1:$A$201,0))</f>
        <v>Admin</v>
      </c>
      <c r="D171" s="1">
        <f>INDEX([1]Sheet1!$D$1:$D$201,MATCH(Table1[[#This Row],[EmpID]],[1]Sheet1!$A$1:$A$201,0))</f>
        <v>45000</v>
      </c>
      <c r="E171" s="8">
        <f>INDEX([1]Sheet1!$E$1:$E$201,MATCH(Table1[[#This Row],[EmpID]],[1]Sheet1!$A$1:$A$201,0))</f>
        <v>42277</v>
      </c>
      <c r="F171" s="10" t="str">
        <f>INDEX('[1]Sheet5 (2)'!$A$1:$A$201,MATCH(Table1[[#This Row],[EmpID]],'[1]Sheet5 (2)'!$D$1:$D$201,0))</f>
        <v>10 Sanjay Place</v>
      </c>
    </row>
    <row r="172" spans="1:6" x14ac:dyDescent="0.3">
      <c r="A172" s="2" t="s">
        <v>345</v>
      </c>
      <c r="B172" s="1" t="s">
        <v>346</v>
      </c>
      <c r="C172" s="1" t="str">
        <f>INDEX([1]Sheet1!$C$1:$C$201,MATCH(Table1[[#This Row],[EmpID]],[1]Sheet1!$A$1:$A$201,0))</f>
        <v>Sales</v>
      </c>
      <c r="D172" s="1">
        <f>INDEX([1]Sheet1!$D$1:$D$201,MATCH(Table1[[#This Row],[EmpID]],[1]Sheet1!$A$1:$A$201,0))</f>
        <v>80000</v>
      </c>
      <c r="E172" s="8">
        <f>INDEX([1]Sheet1!$E$1:$E$201,MATCH(Table1[[#This Row],[EmpID]],[1]Sheet1!$A$1:$A$201,0))</f>
        <v>43119</v>
      </c>
      <c r="F172" s="10" t="str">
        <f>INDEX('[1]Sheet5 (2)'!$A$1:$A$201,MATCH(Table1[[#This Row],[EmpID]],'[1]Sheet5 (2)'!$D$1:$D$201,0))</f>
        <v>2 Lanka Road</v>
      </c>
    </row>
    <row r="173" spans="1:6" x14ac:dyDescent="0.3">
      <c r="A173" s="2" t="s">
        <v>347</v>
      </c>
      <c r="B173" s="1" t="s">
        <v>348</v>
      </c>
      <c r="C173" s="1" t="str">
        <f>INDEX([1]Sheet1!$C$1:$C$201,MATCH(Table1[[#This Row],[EmpID]],[1]Sheet1!$A$1:$A$201,0))</f>
        <v>HR</v>
      </c>
      <c r="D173" s="1">
        <f>INDEX([1]Sheet1!$D$1:$D$201,MATCH(Table1[[#This Row],[EmpID]],[1]Sheet1!$A$1:$A$201,0))</f>
        <v>54000</v>
      </c>
      <c r="E173" s="8">
        <f>INDEX([1]Sheet1!$E$1:$E$201,MATCH(Table1[[#This Row],[EmpID]],[1]Sheet1!$A$1:$A$201,0))</f>
        <v>42822</v>
      </c>
      <c r="F173" s="10" t="str">
        <f>INDEX('[1]Sheet5 (2)'!$A$1:$A$201,MATCH(Table1[[#This Row],[EmpID]],'[1]Sheet5 (2)'!$D$1:$D$201,0))</f>
        <v>14 Shastri Nagar</v>
      </c>
    </row>
    <row r="174" spans="1:6" x14ac:dyDescent="0.3">
      <c r="A174" s="2" t="s">
        <v>349</v>
      </c>
      <c r="B174" s="1" t="s">
        <v>350</v>
      </c>
      <c r="C174" s="1" t="str">
        <f>INDEX([1]Sheet1!$C$1:$C$201,MATCH(Table1[[#This Row],[EmpID]],[1]Sheet1!$A$1:$A$201,0))</f>
        <v>IT</v>
      </c>
      <c r="D174" s="1">
        <f>INDEX([1]Sheet1!$D$1:$D$201,MATCH(Table1[[#This Row],[EmpID]],[1]Sheet1!$A$1:$A$201,0))</f>
        <v>47000</v>
      </c>
      <c r="E174" s="8">
        <f>INDEX([1]Sheet1!$E$1:$E$201,MATCH(Table1[[#This Row],[EmpID]],[1]Sheet1!$A$1:$A$201,0))</f>
        <v>44325</v>
      </c>
      <c r="F174" s="10" t="str">
        <f>INDEX('[1]Sheet5 (2)'!$A$1:$A$201,MATCH(Table1[[#This Row],[EmpID]],'[1]Sheet5 (2)'!$D$1:$D$201,0))</f>
        <v>11 Ferozepur Road</v>
      </c>
    </row>
    <row r="175" spans="1:6" x14ac:dyDescent="0.3">
      <c r="A175" s="2" t="s">
        <v>351</v>
      </c>
      <c r="B175" s="1" t="s">
        <v>352</v>
      </c>
      <c r="C175" s="1" t="str">
        <f>INDEX([1]Sheet1!$C$1:$C$201,MATCH(Table1[[#This Row],[EmpID]],[1]Sheet1!$A$1:$A$201,0))</f>
        <v>Finance</v>
      </c>
      <c r="D175" s="1">
        <f>INDEX([1]Sheet1!$D$1:$D$201,MATCH(Table1[[#This Row],[EmpID]],[1]Sheet1!$A$1:$A$201,0))</f>
        <v>90000</v>
      </c>
      <c r="E175" s="8">
        <f>INDEX([1]Sheet1!$E$1:$E$201,MATCH(Table1[[#This Row],[EmpID]],[1]Sheet1!$A$1:$A$201,0))</f>
        <v>42535</v>
      </c>
      <c r="F175" s="10" t="str">
        <f>INDEX('[1]Sheet5 (2)'!$A$1:$A$201,MATCH(Table1[[#This Row],[EmpID]],'[1]Sheet5 (2)'!$D$1:$D$201,0))</f>
        <v>6 Lawrence Road</v>
      </c>
    </row>
    <row r="176" spans="1:6" x14ac:dyDescent="0.3">
      <c r="A176" s="2" t="s">
        <v>353</v>
      </c>
      <c r="B176" s="1" t="s">
        <v>354</v>
      </c>
      <c r="C176" s="1" t="str">
        <f>INDEX([1]Sheet1!$C$1:$C$201,MATCH(Table1[[#This Row],[EmpID]],[1]Sheet1!$A$1:$A$201,0))</f>
        <v>Marketing</v>
      </c>
      <c r="D176" s="1">
        <f>INDEX([1]Sheet1!$D$1:$D$201,MATCH(Table1[[#This Row],[EmpID]],[1]Sheet1!$A$1:$A$201,0))</f>
        <v>62000</v>
      </c>
      <c r="E176" s="8">
        <f>INDEX([1]Sheet1!$E$1:$E$201,MATCH(Table1[[#This Row],[EmpID]],[1]Sheet1!$A$1:$A$201,0))</f>
        <v>43669</v>
      </c>
      <c r="F176" s="10" t="str">
        <f>INDEX('[1]Sheet5 (2)'!$A$1:$A$201,MATCH(Table1[[#This Row],[EmpID]],'[1]Sheet5 (2)'!$D$1:$D$201,0))</f>
        <v>8 Model Town</v>
      </c>
    </row>
    <row r="177" spans="1:6" x14ac:dyDescent="0.3">
      <c r="A177" s="2" t="s">
        <v>355</v>
      </c>
      <c r="B177" s="1" t="s">
        <v>356</v>
      </c>
      <c r="C177" s="1" t="str">
        <f>INDEX([1]Sheet1!$C$1:$C$201,MATCH(Table1[[#This Row],[EmpID]],[1]Sheet1!$A$1:$A$201,0))</f>
        <v>Operations</v>
      </c>
      <c r="D177" s="1">
        <f>INDEX([1]Sheet1!$D$1:$D$201,MATCH(Table1[[#This Row],[EmpID]],[1]Sheet1!$A$1:$A$201,0))</f>
        <v>73000</v>
      </c>
      <c r="E177" s="8">
        <f>INDEX([1]Sheet1!$E$1:$E$201,MATCH(Table1[[#This Row],[EmpID]],[1]Sheet1!$A$1:$A$201,0))</f>
        <v>44139</v>
      </c>
      <c r="F177" s="10" t="str">
        <f>INDEX('[1]Sheet5 (2)'!$A$1:$A$201,MATCH(Table1[[#This Row],[EmpID]],'[1]Sheet5 (2)'!$D$1:$D$201,0))</f>
        <v>20 Rajpur Road</v>
      </c>
    </row>
    <row r="178" spans="1:6" x14ac:dyDescent="0.3">
      <c r="A178" s="2" t="s">
        <v>357</v>
      </c>
      <c r="B178" s="1" t="s">
        <v>358</v>
      </c>
      <c r="C178" s="1" t="str">
        <f>INDEX([1]Sheet1!$C$1:$C$201,MATCH(Table1[[#This Row],[EmpID]],[1]Sheet1!$A$1:$A$201,0))</f>
        <v>Legal</v>
      </c>
      <c r="D178" s="1">
        <f>INDEX([1]Sheet1!$D$1:$D$201,MATCH(Table1[[#This Row],[EmpID]],[1]Sheet1!$A$1:$A$201,0))</f>
        <v>56000</v>
      </c>
      <c r="E178" s="8">
        <f>INDEX([1]Sheet1!$E$1:$E$201,MATCH(Table1[[#This Row],[EmpID]],[1]Sheet1!$A$1:$A$201,0))</f>
        <v>42217</v>
      </c>
      <c r="F178" s="10" t="str">
        <f>INDEX('[1]Sheet5 (2)'!$A$1:$A$201,MATCH(Table1[[#This Row],[EmpID]],'[1]Sheet5 (2)'!$D$1:$D$201,0))</f>
        <v>3 The Mall</v>
      </c>
    </row>
    <row r="179" spans="1:6" x14ac:dyDescent="0.3">
      <c r="A179" s="2" t="s">
        <v>359</v>
      </c>
      <c r="B179" s="1" t="s">
        <v>360</v>
      </c>
      <c r="C179" s="1" t="str">
        <f>INDEX([1]Sheet1!$C$1:$C$201,MATCH(Table1[[#This Row],[EmpID]],[1]Sheet1!$A$1:$A$201,0))</f>
        <v>R&amp;D</v>
      </c>
      <c r="D179" s="1">
        <f>INDEX([1]Sheet1!$D$1:$D$201,MATCH(Table1[[#This Row],[EmpID]],[1]Sheet1!$A$1:$A$201,0))</f>
        <v>67000</v>
      </c>
      <c r="E179" s="8">
        <f>INDEX([1]Sheet1!$E$1:$E$201,MATCH(Table1[[#This Row],[EmpID]],[1]Sheet1!$A$1:$A$201,0))</f>
        <v>43169</v>
      </c>
      <c r="F179" s="10" t="str">
        <f>INDEX('[1]Sheet5 (2)'!$A$1:$A$201,MATCH(Table1[[#This Row],[EmpID]],'[1]Sheet5 (2)'!$D$1:$D$201,0))</f>
        <v>9 Lal Chowk</v>
      </c>
    </row>
    <row r="180" spans="1:6" x14ac:dyDescent="0.3">
      <c r="A180" s="2" t="s">
        <v>361</v>
      </c>
      <c r="B180" s="1" t="s">
        <v>362</v>
      </c>
      <c r="C180" s="1" t="str">
        <f>INDEX([1]Sheet1!$C$1:$C$201,MATCH(Table1[[#This Row],[EmpID]],[1]Sheet1!$A$1:$A$201,0))</f>
        <v>Support</v>
      </c>
      <c r="D180" s="1">
        <f>INDEX([1]Sheet1!$D$1:$D$201,MATCH(Table1[[#This Row],[EmpID]],[1]Sheet1!$A$1:$A$201,0))</f>
        <v>71000</v>
      </c>
      <c r="E180" s="8">
        <f>INDEX([1]Sheet1!$E$1:$E$201,MATCH(Table1[[#This Row],[EmpID]],[1]Sheet1!$A$1:$A$201,0))</f>
        <v>44740</v>
      </c>
      <c r="F180" s="10" t="str">
        <f>INDEX('[1]Sheet5 (2)'!$A$1:$A$201,MATCH(Table1[[#This Row],[EmpID]],'[1]Sheet5 (2)'!$D$1:$D$201,0))</f>
        <v>5 GS Road</v>
      </c>
    </row>
    <row r="181" spans="1:6" x14ac:dyDescent="0.3">
      <c r="A181" s="2" t="s">
        <v>363</v>
      </c>
      <c r="B181" s="1" t="s">
        <v>364</v>
      </c>
      <c r="C181" s="1" t="str">
        <f>INDEX([1]Sheet1!$C$1:$C$201,MATCH(Table1[[#This Row],[EmpID]],[1]Sheet1!$A$1:$A$201,0))</f>
        <v>Admin</v>
      </c>
      <c r="D181" s="1">
        <f>INDEX([1]Sheet1!$D$1:$D$201,MATCH(Table1[[#This Row],[EmpID]],[1]Sheet1!$A$1:$A$201,0))</f>
        <v>64000</v>
      </c>
      <c r="E181" s="8">
        <f>INDEX([1]Sheet1!$E$1:$E$201,MATCH(Table1[[#This Row],[EmpID]],[1]Sheet1!$A$1:$A$201,0))</f>
        <v>42737</v>
      </c>
      <c r="F181" s="10" t="str">
        <f>INDEX('[1]Sheet5 (2)'!$A$1:$A$201,MATCH(Table1[[#This Row],[EmpID]],'[1]Sheet5 (2)'!$D$1:$D$201,0))</f>
        <v>12 Thangal Bazar</v>
      </c>
    </row>
    <row r="182" spans="1:6" x14ac:dyDescent="0.3">
      <c r="A182" s="2" t="s">
        <v>365</v>
      </c>
      <c r="B182" s="1" t="s">
        <v>366</v>
      </c>
      <c r="C182" s="1" t="str">
        <f>INDEX([1]Sheet1!$C$1:$C$201,MATCH(Table1[[#This Row],[EmpID]],[1]Sheet1!$A$1:$A$201,0))</f>
        <v>Sales</v>
      </c>
      <c r="D182" s="1">
        <f>INDEX([1]Sheet1!$D$1:$D$201,MATCH(Table1[[#This Row],[EmpID]],[1]Sheet1!$A$1:$A$201,0))</f>
        <v>52000</v>
      </c>
      <c r="E182" s="8">
        <f>INDEX([1]Sheet1!$E$1:$E$201,MATCH(Table1[[#This Row],[EmpID]],[1]Sheet1!$A$1:$A$201,0))</f>
        <v>43622</v>
      </c>
      <c r="F182" s="10" t="str">
        <f>INDEX('[1]Sheet5 (2)'!$A$1:$A$201,MATCH(Table1[[#This Row],[EmpID]],'[1]Sheet5 (2)'!$D$1:$D$201,0))</f>
        <v>7 VIP Road</v>
      </c>
    </row>
    <row r="183" spans="1:6" x14ac:dyDescent="0.3">
      <c r="A183" s="2" t="s">
        <v>367</v>
      </c>
      <c r="B183" s="1" t="s">
        <v>368</v>
      </c>
      <c r="C183" s="1" t="str">
        <f>INDEX([1]Sheet1!$C$1:$C$201,MATCH(Table1[[#This Row],[EmpID]],[1]Sheet1!$A$1:$A$201,0))</f>
        <v>HR</v>
      </c>
      <c r="D183" s="1">
        <f>INDEX([1]Sheet1!$D$1:$D$201,MATCH(Table1[[#This Row],[EmpID]],[1]Sheet1!$A$1:$A$201,0))</f>
        <v>48000</v>
      </c>
      <c r="E183" s="8">
        <f>INDEX([1]Sheet1!$E$1:$E$201,MATCH(Table1[[#This Row],[EmpID]],[1]Sheet1!$A$1:$A$201,0))</f>
        <v>44091</v>
      </c>
      <c r="F183" s="10" t="str">
        <f>INDEX('[1]Sheet5 (2)'!$A$1:$A$201,MATCH(Table1[[#This Row],[EmpID]],'[1]Sheet5 (2)'!$D$1:$D$201,0))</f>
        <v>4 Kohima Road</v>
      </c>
    </row>
    <row r="184" spans="1:6" x14ac:dyDescent="0.3">
      <c r="A184" s="2" t="s">
        <v>369</v>
      </c>
      <c r="B184" s="1" t="s">
        <v>370</v>
      </c>
      <c r="C184" s="1" t="str">
        <f>INDEX([1]Sheet1!$C$1:$C$201,MATCH(Table1[[#This Row],[EmpID]],[1]Sheet1!$A$1:$A$201,0))</f>
        <v>IT</v>
      </c>
      <c r="D184" s="1">
        <f>INDEX([1]Sheet1!$D$1:$D$201,MATCH(Table1[[#This Row],[EmpID]],[1]Sheet1!$A$1:$A$201,0))</f>
        <v>75000</v>
      </c>
      <c r="E184" s="8">
        <f>INDEX([1]Sheet1!$E$1:$E$201,MATCH(Table1[[#This Row],[EmpID]],[1]Sheet1!$A$1:$A$201,0))</f>
        <v>43156</v>
      </c>
      <c r="F184" s="10" t="str">
        <f>INDEX('[1]Sheet5 (2)'!$A$1:$A$201,MATCH(Table1[[#This Row],[EmpID]],'[1]Sheet5 (2)'!$D$1:$D$201,0))</f>
        <v>15 Zarkawt</v>
      </c>
    </row>
    <row r="185" spans="1:6" x14ac:dyDescent="0.3">
      <c r="A185" s="2" t="s">
        <v>371</v>
      </c>
      <c r="B185" s="1" t="s">
        <v>372</v>
      </c>
      <c r="C185" s="1" t="str">
        <f>INDEX([1]Sheet1!$C$1:$C$201,MATCH(Table1[[#This Row],[EmpID]],[1]Sheet1!$A$1:$A$201,0))</f>
        <v>Finance</v>
      </c>
      <c r="D185" s="1">
        <f>INDEX([1]Sheet1!$D$1:$D$201,MATCH(Table1[[#This Row],[EmpID]],[1]Sheet1!$A$1:$A$201,0))</f>
        <v>61000</v>
      </c>
      <c r="E185" s="8">
        <f>INDEX([1]Sheet1!$E$1:$E$201,MATCH(Table1[[#This Row],[EmpID]],[1]Sheet1!$A$1:$A$201,0))</f>
        <v>44439</v>
      </c>
      <c r="F185" s="10" t="str">
        <f>INDEX('[1]Sheet5 (2)'!$A$1:$A$201,MATCH(Table1[[#This Row],[EmpID]],'[1]Sheet5 (2)'!$D$1:$D$201,0))</f>
        <v>6 Aberdeen Bazaar</v>
      </c>
    </row>
    <row r="186" spans="1:6" x14ac:dyDescent="0.3">
      <c r="A186" s="2" t="s">
        <v>373</v>
      </c>
      <c r="B186" s="1" t="s">
        <v>374</v>
      </c>
      <c r="C186" s="1" t="str">
        <f>INDEX([1]Sheet1!$C$1:$C$201,MATCH(Table1[[#This Row],[EmpID]],[1]Sheet1!$A$1:$A$201,0))</f>
        <v>Marketing</v>
      </c>
      <c r="D186" s="1">
        <f>INDEX([1]Sheet1!$D$1:$D$201,MATCH(Table1[[#This Row],[EmpID]],[1]Sheet1!$A$1:$A$201,0))</f>
        <v>69000</v>
      </c>
      <c r="E186" s="8">
        <f>INDEX([1]Sheet1!$E$1:$E$201,MATCH(Table1[[#This Row],[EmpID]],[1]Sheet1!$A$1:$A$201,0))</f>
        <v>42837</v>
      </c>
      <c r="F186" s="10" t="str">
        <f>INDEX('[1]Sheet5 (2)'!$A$1:$A$201,MATCH(Table1[[#This Row],[EmpID]],'[1]Sheet5 (2)'!$D$1:$D$201,0))</f>
        <v>21 MG Road</v>
      </c>
    </row>
    <row r="187" spans="1:6" x14ac:dyDescent="0.3">
      <c r="A187" s="2" t="s">
        <v>375</v>
      </c>
      <c r="B187" s="1" t="s">
        <v>376</v>
      </c>
      <c r="C187" s="1" t="str">
        <f>INDEX([1]Sheet1!$C$1:$C$201,MATCH(Table1[[#This Row],[EmpID]],[1]Sheet1!$A$1:$A$201,0))</f>
        <v>Operations</v>
      </c>
      <c r="D187" s="1">
        <f>INDEX([1]Sheet1!$D$1:$D$201,MATCH(Table1[[#This Row],[EmpID]],[1]Sheet1!$A$1:$A$201,0))</f>
        <v>72000</v>
      </c>
      <c r="E187" s="8">
        <f>INDEX([1]Sheet1!$E$1:$E$201,MATCH(Table1[[#This Row],[EmpID]],[1]Sheet1!$A$1:$A$201,0))</f>
        <v>44656</v>
      </c>
      <c r="F187" s="10" t="str">
        <f>INDEX('[1]Sheet5 (2)'!$A$1:$A$201,MATCH(Table1[[#This Row],[EmpID]],'[1]Sheet5 (2)'!$D$1:$D$201,0))</f>
        <v>28 Park Street</v>
      </c>
    </row>
    <row r="188" spans="1:6" x14ac:dyDescent="0.3">
      <c r="A188" s="2" t="s">
        <v>377</v>
      </c>
      <c r="B188" s="1" t="s">
        <v>378</v>
      </c>
      <c r="C188" s="1" t="str">
        <f>INDEX([1]Sheet1!$C$1:$C$201,MATCH(Table1[[#This Row],[EmpID]],[1]Sheet1!$A$1:$A$201,0))</f>
        <v>Legal</v>
      </c>
      <c r="D188" s="1">
        <f>INDEX([1]Sheet1!$D$1:$D$201,MATCH(Table1[[#This Row],[EmpID]],[1]Sheet1!$A$1:$A$201,0))</f>
        <v>50000</v>
      </c>
      <c r="E188" s="8">
        <f>INDEX([1]Sheet1!$E$1:$E$201,MATCH(Table1[[#This Row],[EmpID]],[1]Sheet1!$A$1:$A$201,0))</f>
        <v>43827</v>
      </c>
      <c r="F188" s="10" t="str">
        <f>INDEX('[1]Sheet5 (2)'!$A$1:$A$201,MATCH(Table1[[#This Row],[EmpID]],'[1]Sheet5 (2)'!$D$1:$D$201,0))</f>
        <v>10 Brigade Road</v>
      </c>
    </row>
    <row r="189" spans="1:6" x14ac:dyDescent="0.3">
      <c r="A189" s="2" t="s">
        <v>379</v>
      </c>
      <c r="B189" s="1" t="s">
        <v>380</v>
      </c>
      <c r="C189" s="1" t="str">
        <f>INDEX([1]Sheet1!$C$1:$C$201,MATCH(Table1[[#This Row],[EmpID]],[1]Sheet1!$A$1:$A$201,0))</f>
        <v>R&amp;D</v>
      </c>
      <c r="D189" s="1">
        <f>INDEX([1]Sheet1!$D$1:$D$201,MATCH(Table1[[#This Row],[EmpID]],[1]Sheet1!$A$1:$A$201,0))</f>
        <v>66000</v>
      </c>
      <c r="E189" s="8">
        <f>INDEX([1]Sheet1!$E$1:$E$201,MATCH(Table1[[#This Row],[EmpID]],[1]Sheet1!$A$1:$A$201,0))</f>
        <v>44004</v>
      </c>
      <c r="F189" s="10" t="str">
        <f>INDEX('[1]Sheet5 (2)'!$A$1:$A$201,MATCH(Table1[[#This Row],[EmpID]],'[1]Sheet5 (2)'!$D$1:$D$201,0))</f>
        <v>17 Anna Salai</v>
      </c>
    </row>
    <row r="190" spans="1:6" x14ac:dyDescent="0.3">
      <c r="A190" s="2" t="s">
        <v>381</v>
      </c>
      <c r="B190" s="1" t="s">
        <v>382</v>
      </c>
      <c r="C190" s="1" t="str">
        <f>INDEX([1]Sheet1!$C$1:$C$201,MATCH(Table1[[#This Row],[EmpID]],[1]Sheet1!$A$1:$A$201,0))</f>
        <v>Support</v>
      </c>
      <c r="D190" s="1">
        <f>INDEX([1]Sheet1!$D$1:$D$201,MATCH(Table1[[#This Row],[EmpID]],[1]Sheet1!$A$1:$A$201,0))</f>
        <v>58000</v>
      </c>
      <c r="E190" s="8">
        <f>INDEX([1]Sheet1!$E$1:$E$201,MATCH(Table1[[#This Row],[EmpID]],[1]Sheet1!$A$1:$A$201,0))</f>
        <v>42566</v>
      </c>
      <c r="F190" s="10" t="str">
        <f>INDEX('[1]Sheet5 (2)'!$A$1:$A$201,MATCH(Table1[[#This Row],[EmpID]],'[1]Sheet5 (2)'!$D$1:$D$201,0))</f>
        <v>13 Marine Drive</v>
      </c>
    </row>
    <row r="191" spans="1:6" x14ac:dyDescent="0.3">
      <c r="A191" s="2" t="s">
        <v>383</v>
      </c>
      <c r="B191" s="1" t="s">
        <v>384</v>
      </c>
      <c r="C191" s="1" t="str">
        <f>INDEX([1]Sheet1!$C$1:$C$201,MATCH(Table1[[#This Row],[EmpID]],[1]Sheet1!$A$1:$A$201,0))</f>
        <v>Admin</v>
      </c>
      <c r="D191" s="1">
        <f>INDEX([1]Sheet1!$D$1:$D$201,MATCH(Table1[[#This Row],[EmpID]],[1]Sheet1!$A$1:$A$201,0))</f>
        <v>45000</v>
      </c>
      <c r="E191" s="8">
        <f>INDEX([1]Sheet1!$E$1:$E$201,MATCH(Table1[[#This Row],[EmpID]],[1]Sheet1!$A$1:$A$201,0))</f>
        <v>42030</v>
      </c>
      <c r="F191" s="10" t="str">
        <f>INDEX('[1]Sheet5 (2)'!$A$1:$A$201,MATCH(Table1[[#This Row],[EmpID]],'[1]Sheet5 (2)'!$D$1:$D$201,0))</f>
        <v>8 Koregaon Park</v>
      </c>
    </row>
    <row r="192" spans="1:6" x14ac:dyDescent="0.3">
      <c r="A192" s="2" t="s">
        <v>385</v>
      </c>
      <c r="B192" s="1" t="s">
        <v>386</v>
      </c>
      <c r="C192" s="1" t="str">
        <f>INDEX([1]Sheet1!$C$1:$C$201,MATCH(Table1[[#This Row],[EmpID]],[1]Sheet1!$A$1:$A$201,0))</f>
        <v>Sales</v>
      </c>
      <c r="D192" s="1">
        <f>INDEX([1]Sheet1!$D$1:$D$201,MATCH(Table1[[#This Row],[EmpID]],[1]Sheet1!$A$1:$A$201,0))</f>
        <v>80000</v>
      </c>
      <c r="E192" s="8">
        <f>INDEX([1]Sheet1!$E$1:$E$201,MATCH(Table1[[#This Row],[EmpID]],[1]Sheet1!$A$1:$A$201,0))</f>
        <v>43382</v>
      </c>
      <c r="F192" s="10" t="str">
        <f>INDEX('[1]Sheet5 (2)'!$A$1:$A$201,MATCH(Table1[[#This Row],[EmpID]],'[1]Sheet5 (2)'!$D$1:$D$201,0))</f>
        <v>6 Banjara Hills</v>
      </c>
    </row>
    <row r="193" spans="1:6" x14ac:dyDescent="0.3">
      <c r="A193" s="2" t="s">
        <v>387</v>
      </c>
      <c r="B193" s="1" t="s">
        <v>388</v>
      </c>
      <c r="C193" s="1" t="str">
        <f>INDEX([1]Sheet1!$C$1:$C$201,MATCH(Table1[[#This Row],[EmpID]],[1]Sheet1!$A$1:$A$201,0))</f>
        <v>HR</v>
      </c>
      <c r="D193" s="1">
        <f>INDEX([1]Sheet1!$D$1:$D$201,MATCH(Table1[[#This Row],[EmpID]],[1]Sheet1!$A$1:$A$201,0))</f>
        <v>54000</v>
      </c>
      <c r="E193" s="8">
        <f>INDEX([1]Sheet1!$E$1:$E$201,MATCH(Table1[[#This Row],[EmpID]],[1]Sheet1!$A$1:$A$201,0))</f>
        <v>42873</v>
      </c>
      <c r="F193" s="10" t="str">
        <f>INDEX('[1]Sheet5 (2)'!$A$1:$A$201,MATCH(Table1[[#This Row],[EmpID]],'[1]Sheet5 (2)'!$D$1:$D$201,0))</f>
        <v>19 CG Road</v>
      </c>
    </row>
    <row r="194" spans="1:6" x14ac:dyDescent="0.3">
      <c r="A194" s="2" t="s">
        <v>389</v>
      </c>
      <c r="B194" s="1" t="s">
        <v>390</v>
      </c>
      <c r="C194" s="1" t="str">
        <f>INDEX([1]Sheet1!$C$1:$C$201,MATCH(Table1[[#This Row],[EmpID]],[1]Sheet1!$A$1:$A$201,0))</f>
        <v>IT</v>
      </c>
      <c r="D194" s="1">
        <f>INDEX([1]Sheet1!$D$1:$D$201,MATCH(Table1[[#This Row],[EmpID]],[1]Sheet1!$A$1:$A$201,0))</f>
        <v>47000</v>
      </c>
      <c r="E194" s="8">
        <f>INDEX([1]Sheet1!$E$1:$E$201,MATCH(Table1[[#This Row],[EmpID]],[1]Sheet1!$A$1:$A$201,0))</f>
        <v>44378</v>
      </c>
      <c r="F194" s="10" t="str">
        <f>INDEX('[1]Sheet5 (2)'!$A$1:$A$201,MATCH(Table1[[#This Row],[EmpID]],'[1]Sheet5 (2)'!$D$1:$D$201,0))</f>
        <v>11 Hazratganj</v>
      </c>
    </row>
    <row r="195" spans="1:6" x14ac:dyDescent="0.3">
      <c r="A195" s="2" t="s">
        <v>391</v>
      </c>
      <c r="B195" s="1" t="s">
        <v>392</v>
      </c>
      <c r="C195" s="1" t="str">
        <f>INDEX([1]Sheet1!$C$1:$C$201,MATCH(Table1[[#This Row],[EmpID]],[1]Sheet1!$A$1:$A$201,0))</f>
        <v>Finance</v>
      </c>
      <c r="D195" s="1">
        <f>INDEX([1]Sheet1!$D$1:$D$201,MATCH(Table1[[#This Row],[EmpID]],[1]Sheet1!$A$1:$A$201,0))</f>
        <v>90000</v>
      </c>
      <c r="E195" s="8">
        <f>INDEX([1]Sheet1!$E$1:$E$201,MATCH(Table1[[#This Row],[EmpID]],[1]Sheet1!$A$1:$A$201,0))</f>
        <v>42715</v>
      </c>
      <c r="F195" s="10" t="str">
        <f>INDEX('[1]Sheet5 (2)'!$A$1:$A$201,MATCH(Table1[[#This Row],[EmpID]],'[1]Sheet5 (2)'!$D$1:$D$201,0))</f>
        <v>5 MI Road</v>
      </c>
    </row>
    <row r="196" spans="1:6" x14ac:dyDescent="0.3">
      <c r="A196" s="2" t="s">
        <v>393</v>
      </c>
      <c r="B196" s="1" t="s">
        <v>394</v>
      </c>
      <c r="C196" s="1" t="str">
        <f>INDEX([1]Sheet1!$C$1:$C$201,MATCH(Table1[[#This Row],[EmpID]],[1]Sheet1!$A$1:$A$201,0))</f>
        <v>Marketing</v>
      </c>
      <c r="D196" s="1">
        <f>INDEX([1]Sheet1!$D$1:$D$201,MATCH(Table1[[#This Row],[EmpID]],[1]Sheet1!$A$1:$A$201,0))</f>
        <v>62000</v>
      </c>
      <c r="E196" s="8">
        <f>INDEX([1]Sheet1!$E$1:$E$201,MATCH(Table1[[#This Row],[EmpID]],[1]Sheet1!$A$1:$A$201,0))</f>
        <v>43553</v>
      </c>
      <c r="F196" s="10" t="str">
        <f>INDEX('[1]Sheet5 (2)'!$A$1:$A$201,MATCH(Table1[[#This Row],[EmpID]],'[1]Sheet5 (2)'!$D$1:$D$201,0))</f>
        <v>14 Sector 17</v>
      </c>
    </row>
    <row r="197" spans="1:6" x14ac:dyDescent="0.3">
      <c r="A197" s="2" t="s">
        <v>395</v>
      </c>
      <c r="B197" s="1" t="s">
        <v>396</v>
      </c>
      <c r="C197" s="1" t="str">
        <f>INDEX([1]Sheet1!$C$1:$C$201,MATCH(Table1[[#This Row],[EmpID]],[1]Sheet1!$A$1:$A$201,0))</f>
        <v>Operations</v>
      </c>
      <c r="D197" s="1">
        <f>INDEX([1]Sheet1!$D$1:$D$201,MATCH(Table1[[#This Row],[EmpID]],[1]Sheet1!$A$1:$A$201,0))</f>
        <v>73000</v>
      </c>
      <c r="E197" s="8">
        <f>INDEX([1]Sheet1!$E$1:$E$201,MATCH(Table1[[#This Row],[EmpID]],[1]Sheet1!$A$1:$A$201,0))</f>
        <v>43971</v>
      </c>
      <c r="F197" s="10" t="str">
        <f>INDEX('[1]Sheet5 (2)'!$A$1:$A$201,MATCH(Table1[[#This Row],[EmpID]],'[1]Sheet5 (2)'!$D$1:$D$201,0))</f>
        <v>9 Udyog Vihar</v>
      </c>
    </row>
    <row r="198" spans="1:6" x14ac:dyDescent="0.3">
      <c r="A198" s="2" t="s">
        <v>397</v>
      </c>
      <c r="B198" s="1" t="s">
        <v>398</v>
      </c>
      <c r="C198" s="1" t="str">
        <f>INDEX([1]Sheet1!$C$1:$C$201,MATCH(Table1[[#This Row],[EmpID]],[1]Sheet1!$A$1:$A$201,0))</f>
        <v>Legal</v>
      </c>
      <c r="D198" s="1">
        <f>INDEX([1]Sheet1!$D$1:$D$201,MATCH(Table1[[#This Row],[EmpID]],[1]Sheet1!$A$1:$A$201,0))</f>
        <v>56000</v>
      </c>
      <c r="E198" s="8">
        <f>INDEX([1]Sheet1!$E$1:$E$201,MATCH(Table1[[#This Row],[EmpID]],[1]Sheet1!$A$1:$A$201,0))</f>
        <v>42283</v>
      </c>
      <c r="F198" s="10" t="str">
        <f>INDEX('[1]Sheet5 (2)'!$A$1:$A$201,MATCH(Table1[[#This Row],[EmpID]],'[1]Sheet5 (2)'!$D$1:$D$201,0))</f>
        <v>4 Sector 18</v>
      </c>
    </row>
    <row r="199" spans="1:6" x14ac:dyDescent="0.3">
      <c r="A199" s="2" t="s">
        <v>399</v>
      </c>
      <c r="B199" s="1" t="s">
        <v>400</v>
      </c>
      <c r="C199" s="1" t="str">
        <f>INDEX([1]Sheet1!$C$1:$C$201,MATCH(Table1[[#This Row],[EmpID]],[1]Sheet1!$A$1:$A$201,0))</f>
        <v>R&amp;D</v>
      </c>
      <c r="D199" s="1">
        <f>INDEX([1]Sheet1!$D$1:$D$201,MATCH(Table1[[#This Row],[EmpID]],[1]Sheet1!$A$1:$A$201,0))</f>
        <v>67000</v>
      </c>
      <c r="E199" s="8">
        <f>INDEX([1]Sheet1!$E$1:$E$201,MATCH(Table1[[#This Row],[EmpID]],[1]Sheet1!$A$1:$A$201,0))</f>
        <v>43327</v>
      </c>
      <c r="F199" s="10" t="str">
        <f>INDEX('[1]Sheet5 (2)'!$A$1:$A$201,MATCH(Table1[[#This Row],[EmpID]],'[1]Sheet5 (2)'!$D$1:$D$201,0))</f>
        <v>2 Raj Nagar</v>
      </c>
    </row>
    <row r="200" spans="1:6" x14ac:dyDescent="0.3">
      <c r="A200" s="2" t="s">
        <v>401</v>
      </c>
      <c r="B200" s="1" t="s">
        <v>402</v>
      </c>
      <c r="C200" s="1" t="str">
        <f>INDEX([1]Sheet1!$C$1:$C$201,MATCH(Table1[[#This Row],[EmpID]],[1]Sheet1!$A$1:$A$201,0))</f>
        <v>Support</v>
      </c>
      <c r="D200" s="1">
        <f>INDEX([1]Sheet1!$D$1:$D$201,MATCH(Table1[[#This Row],[EmpID]],[1]Sheet1!$A$1:$A$201,0))</f>
        <v>71000</v>
      </c>
      <c r="E200" s="8">
        <f>INDEX([1]Sheet1!$E$1:$E$201,MATCH(Table1[[#This Row],[EmpID]],[1]Sheet1!$A$1:$A$201,0))</f>
        <v>44600</v>
      </c>
      <c r="F200" s="10" t="str">
        <f>INDEX('[1]Sheet5 (2)'!$A$1:$A$201,MATCH(Table1[[#This Row],[EmpID]],'[1]Sheet5 (2)'!$D$1:$D$201,0))</f>
        <v>13 Indirapuram</v>
      </c>
    </row>
    <row r="201" spans="1:6" x14ac:dyDescent="0.3">
      <c r="A201" s="6" t="s">
        <v>403</v>
      </c>
      <c r="B201" s="7" t="s">
        <v>404</v>
      </c>
      <c r="C201" s="7" t="str">
        <f>INDEX([1]Sheet1!$C$1:$C$201,MATCH(Table1[[#This Row],[EmpID]],[1]Sheet1!$A$1:$A$201,0))</f>
        <v>Admin</v>
      </c>
      <c r="D201" s="7">
        <f>INDEX([1]Sheet1!$D$1:$D$201,MATCH(Table1[[#This Row],[EmpID]],[1]Sheet1!$A$1:$A$201,0))</f>
        <v>64000</v>
      </c>
      <c r="E201" s="9">
        <f>INDEX([1]Sheet1!$E$1:$E$201,MATCH(Table1[[#This Row],[EmpID]],[1]Sheet1!$A$1:$A$201,0))</f>
        <v>42950</v>
      </c>
      <c r="F201" s="12" t="str">
        <f>INDEX('[1]Sheet5 (2)'!$A$1:$A$201,MATCH(Table1[[#This Row],[EmpID]],'[1]Sheet5 (2)'!$D$1:$D$201,0))</f>
        <v>7 Swaroop Nagar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</dc:creator>
  <cp:lastModifiedBy>Triveni Singh</cp:lastModifiedBy>
  <dcterms:created xsi:type="dcterms:W3CDTF">2015-06-05T18:17:20Z</dcterms:created>
  <dcterms:modified xsi:type="dcterms:W3CDTF">2026-01-25T15:55:19Z</dcterms:modified>
</cp:coreProperties>
</file>
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8_{BE956A4F-93D1-4B40-9508-90E1EB9D6138}" xr6:coauthVersionLast="47" xr6:coauthVersionMax="47" xr10:uidLastSave="{00000000-0000-0000-0000-000000000000}"/>
  <bookViews>
    <workbookView xWindow="-108" yWindow="-108" windowWidth="23256" windowHeight="13896" activeTab="4" xr2:uid="{37CE435D-A939-45EC-9E9D-08C618BF0025}"/>
  </bookViews>
  <sheets>
    <sheet name="LoanAmount" sheetId="1" r:id="rId1"/>
    <sheet name="BreakEven" sheetId="2" r:id="rId2"/>
    <sheet name="Investment Growth" sheetId="3" r:id="rId3"/>
    <sheet name="Discount Pricing" sheetId="4" r:id="rId4"/>
    <sheet name="Savings Pla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2" i="5"/>
  <c r="B3" i="4"/>
  <c r="B5" i="3"/>
  <c r="B5" i="2"/>
  <c r="B6" i="1"/>
  <c r="B4" i="1"/>
  <c r="B2" i="1"/>
</calcChain>
</file>

<file path=xl/sharedStrings.xml><?xml version="1.0" encoding="utf-8"?>
<sst xmlns="http://schemas.openxmlformats.org/spreadsheetml/2006/main" count="25" uniqueCount="25">
  <si>
    <t>Annual Rate of Interest</t>
  </si>
  <si>
    <t>Monthy Rate of Interest</t>
  </si>
  <si>
    <t>Loan Tenure in Years</t>
  </si>
  <si>
    <t>Loan Tenure in Months</t>
  </si>
  <si>
    <t>Loan Amount</t>
  </si>
  <si>
    <t>EMI Formulla</t>
  </si>
  <si>
    <t>Price per unit</t>
  </si>
  <si>
    <t>Variable Cost per unit</t>
  </si>
  <si>
    <t>Fixed Cost</t>
  </si>
  <si>
    <t>Units Sold</t>
  </si>
  <si>
    <t>Profit Formula</t>
  </si>
  <si>
    <t xml:space="preserve"> </t>
  </si>
  <si>
    <t>Value (PV)</t>
  </si>
  <si>
    <t>Future Value (FV)</t>
  </si>
  <si>
    <t>Years</t>
  </si>
  <si>
    <t>Interest Rate</t>
  </si>
  <si>
    <t>FV</t>
  </si>
  <si>
    <t>Price</t>
  </si>
  <si>
    <t>Discount %</t>
  </si>
  <si>
    <t>Final Price Formula</t>
  </si>
  <si>
    <t>Rate Annual</t>
  </si>
  <si>
    <t>Period months</t>
  </si>
  <si>
    <t>Monthly Deposit</t>
  </si>
  <si>
    <t>Future Value</t>
  </si>
  <si>
    <t>Rate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</si>
</sst>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169" formatCode="&quot;₹&quot;\ #,##0.0;[Red]&quot;₹&quot;\ \-#,##0.0"/>
    <numFmt numFmtId="173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6" fontId="0" fillId="0" borderId="1" xfId="0" applyNumberFormat="1" applyBorder="1"/>
    <xf numFmtId="2" fontId="0" fillId="2" borderId="1" xfId="0" applyNumberFormat="1" applyFill="1" applyBorder="1"/>
    <xf numFmtId="169" fontId="0" fillId="2" borderId="1" xfId="0" applyNumberFormat="1" applyFill="1" applyBorder="1"/>
    <xf numFmtId="3" fontId="0" fillId="0" borderId="1" xfId="0" applyNumberFormat="1" applyBorder="1"/>
    <xf numFmtId="0" fontId="0" fillId="2" borderId="1" xfId="0" applyFill="1" applyBorder="1"/>
    <xf numFmtId="0" fontId="1" fillId="0" borderId="1" xfId="0" applyFont="1" applyBorder="1"/>
    <xf numFmtId="8" fontId="1" fillId="0" borderId="1" xfId="0" applyNumberFormat="1" applyFont="1" applyBorder="1"/>
    <xf numFmtId="0" fontId="1" fillId="2" borderId="1" xfId="0" applyFont="1" applyFill="1" applyBorder="1"/>
    <xf numFmtId="10" fontId="1" fillId="2" borderId="1" xfId="0" applyNumberFormat="1" applyFont="1" applyFill="1" applyBorder="1"/>
    <xf numFmtId="8" fontId="1" fillId="2" borderId="1" xfId="0" applyNumberFormat="1" applyFont="1" applyFill="1" applyBorder="1"/>
    <xf numFmtId="6" fontId="1" fillId="2" borderId="1" xfId="0" applyNumberFormat="1" applyFont="1" applyFill="1" applyBorder="1"/>
    <xf numFmtId="17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C8A8-C1AC-4098-8487-44C186387C38}">
  <dimension ref="A1:B6"/>
  <sheetViews>
    <sheetView workbookViewId="0">
      <selection activeCell="B6" sqref="B6"/>
    </sheetView>
  </sheetViews>
  <sheetFormatPr defaultRowHeight="14.4" x14ac:dyDescent="0.3"/>
  <cols>
    <col min="1" max="1" width="19.109375" bestFit="1" customWidth="1"/>
    <col min="2" max="2" width="14.5546875" customWidth="1"/>
  </cols>
  <sheetData>
    <row r="1" spans="1:2" x14ac:dyDescent="0.3">
      <c r="A1" s="1" t="s">
        <v>0</v>
      </c>
      <c r="B1" s="2">
        <v>0.08</v>
      </c>
    </row>
    <row r="2" spans="1:2" x14ac:dyDescent="0.3">
      <c r="A2" s="1" t="s">
        <v>1</v>
      </c>
      <c r="B2" s="3">
        <f>B1/12</f>
        <v>6.6666666666666671E-3</v>
      </c>
    </row>
    <row r="3" spans="1:2" x14ac:dyDescent="0.3">
      <c r="A3" s="1" t="s">
        <v>2</v>
      </c>
      <c r="B3" s="1">
        <v>5</v>
      </c>
    </row>
    <row r="4" spans="1:2" x14ac:dyDescent="0.3">
      <c r="A4" s="1" t="s">
        <v>3</v>
      </c>
      <c r="B4" s="1">
        <f>B3*12</f>
        <v>60</v>
      </c>
    </row>
    <row r="5" spans="1:2" x14ac:dyDescent="0.3">
      <c r="A5" s="1" t="s">
        <v>4</v>
      </c>
      <c r="B5" s="5">
        <v>493184.33335626102</v>
      </c>
    </row>
    <row r="6" spans="1:2" x14ac:dyDescent="0.3">
      <c r="A6" s="1" t="s">
        <v>5</v>
      </c>
      <c r="B6" s="6">
        <f>PMT(B2,B4,-B5)</f>
        <v>9999.9999999999982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F294-0CAD-4EAC-AFA7-CE8946B30179}">
  <dimension ref="A1:E6"/>
  <sheetViews>
    <sheetView workbookViewId="0">
      <selection activeCell="B5" sqref="B5"/>
    </sheetView>
  </sheetViews>
  <sheetFormatPr defaultRowHeight="14.4" x14ac:dyDescent="0.3"/>
  <cols>
    <col min="1" max="1" width="18.21875" bestFit="1" customWidth="1"/>
    <col min="2" max="2" width="11.77734375" customWidth="1"/>
  </cols>
  <sheetData>
    <row r="1" spans="1:5" x14ac:dyDescent="0.3">
      <c r="A1" s="1" t="s">
        <v>6</v>
      </c>
      <c r="B1" s="1">
        <v>500</v>
      </c>
    </row>
    <row r="2" spans="1:5" x14ac:dyDescent="0.3">
      <c r="A2" s="1" t="s">
        <v>7</v>
      </c>
      <c r="B2" s="1">
        <v>300</v>
      </c>
    </row>
    <row r="3" spans="1:5" x14ac:dyDescent="0.3">
      <c r="A3" s="1" t="s">
        <v>8</v>
      </c>
      <c r="B3" s="7">
        <v>200000</v>
      </c>
    </row>
    <row r="4" spans="1:5" x14ac:dyDescent="0.3">
      <c r="A4" s="1" t="s">
        <v>9</v>
      </c>
      <c r="B4" s="8">
        <v>312.5</v>
      </c>
    </row>
    <row r="5" spans="1:5" x14ac:dyDescent="0.3">
      <c r="A5" s="1" t="s">
        <v>10</v>
      </c>
      <c r="B5" s="8">
        <f>B4*(B1+B2)-B3</f>
        <v>50000</v>
      </c>
    </row>
    <row r="6" spans="1:5" x14ac:dyDescent="0.3">
      <c r="E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C64C-8793-41CE-999B-D67C6656F198}">
  <dimension ref="A1:B5"/>
  <sheetViews>
    <sheetView workbookViewId="0">
      <selection activeCell="D11" sqref="D11"/>
    </sheetView>
  </sheetViews>
  <sheetFormatPr defaultRowHeight="14.4" x14ac:dyDescent="0.3"/>
  <cols>
    <col min="1" max="1" width="14.77734375" bestFit="1" customWidth="1"/>
    <col min="2" max="2" width="13.109375" bestFit="1" customWidth="1"/>
  </cols>
  <sheetData>
    <row r="1" spans="1:2" x14ac:dyDescent="0.3">
      <c r="A1" s="1" t="s">
        <v>12</v>
      </c>
      <c r="B1" s="4">
        <v>500000</v>
      </c>
    </row>
    <row r="2" spans="1:2" x14ac:dyDescent="0.3">
      <c r="A2" s="1" t="s">
        <v>13</v>
      </c>
      <c r="B2" s="4">
        <v>1000000</v>
      </c>
    </row>
    <row r="3" spans="1:2" x14ac:dyDescent="0.3">
      <c r="A3" s="1" t="s">
        <v>14</v>
      </c>
      <c r="B3" s="1">
        <v>10</v>
      </c>
    </row>
    <row r="4" spans="1:2" x14ac:dyDescent="0.3">
      <c r="A4" s="11" t="s">
        <v>15</v>
      </c>
      <c r="B4" s="12">
        <v>7.177346253287574E-2</v>
      </c>
    </row>
    <row r="5" spans="1:2" x14ac:dyDescent="0.3">
      <c r="A5" s="11" t="s">
        <v>16</v>
      </c>
      <c r="B5" s="13">
        <f>FV(B4,B3,0,-B1)</f>
        <v>999999.99996811361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D24A-3619-4EC9-983A-2C3FFEE30052}">
  <dimension ref="A1:B3"/>
  <sheetViews>
    <sheetView workbookViewId="0">
      <selection activeCell="F24" sqref="F24"/>
    </sheetView>
  </sheetViews>
  <sheetFormatPr defaultRowHeight="14.4" x14ac:dyDescent="0.3"/>
  <cols>
    <col min="1" max="1" width="16.5546875" bestFit="1" customWidth="1"/>
  </cols>
  <sheetData>
    <row r="1" spans="1:2" x14ac:dyDescent="0.3">
      <c r="A1" s="1" t="s">
        <v>17</v>
      </c>
      <c r="B1" s="4">
        <v>1000</v>
      </c>
    </row>
    <row r="2" spans="1:2" x14ac:dyDescent="0.3">
      <c r="A2" s="11" t="s">
        <v>18</v>
      </c>
      <c r="B2" s="12">
        <v>0.25</v>
      </c>
    </row>
    <row r="3" spans="1:2" x14ac:dyDescent="0.3">
      <c r="A3" s="11" t="s">
        <v>19</v>
      </c>
      <c r="B3" s="14">
        <f>B1*(1-B2)</f>
        <v>750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794A5-6EC5-4DE1-8C58-07D05117D1AF}">
  <dimension ref="A1:B5"/>
  <sheetViews>
    <sheetView tabSelected="1" workbookViewId="0">
      <selection activeCell="D2" sqref="D2"/>
    </sheetView>
  </sheetViews>
  <sheetFormatPr defaultRowHeight="14.4" x14ac:dyDescent="0.3"/>
  <cols>
    <col min="1" max="1" width="14.44140625" bestFit="1" customWidth="1"/>
    <col min="2" max="2" width="12.6640625" bestFit="1" customWidth="1"/>
  </cols>
  <sheetData>
    <row r="1" spans="1:2" x14ac:dyDescent="0.3">
      <c r="A1" s="1" t="s">
        <v>20</v>
      </c>
      <c r="B1" s="2">
        <v>0.06</v>
      </c>
    </row>
    <row r="2" spans="1:2" x14ac:dyDescent="0.3">
      <c r="A2" s="1" t="s">
        <v>24</v>
      </c>
      <c r="B2" s="15">
        <f>B1/12</f>
        <v>5.0000000000000001E-3</v>
      </c>
    </row>
    <row r="3" spans="1:2" x14ac:dyDescent="0.3">
      <c r="A3" s="1" t="s">
        <v>21</v>
      </c>
      <c r="B3" s="1">
        <v>60</v>
      </c>
    </row>
    <row r="4" spans="1:2" x14ac:dyDescent="0.3">
      <c r="A4" s="9" t="s">
        <v>22</v>
      </c>
      <c r="B4" s="9">
        <v>-7166.4007647142134</v>
      </c>
    </row>
    <row r="5" spans="1:2" x14ac:dyDescent="0.3">
      <c r="A5" s="9" t="s">
        <v>23</v>
      </c>
      <c r="B5" s="10">
        <f>FV(B2,B3,B4)</f>
        <v>500000.00000000006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LoanAmount</vt:lpstr>
      <vt:lpstr>BreakEven</vt:lpstr>
      <vt:lpstr>Investment Growth</vt:lpstr>
      <vt:lpstr>Discount Pricing</vt:lpstr>
      <vt:lpstr>Savings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2026-03-24T12:35:06Z</dcterms:created>
  <dcterms:modified xsi:type="dcterms:W3CDTF">2026-03-24T13:13:55Z</dcterms:modified>
</cp:coreProperties>
</file>
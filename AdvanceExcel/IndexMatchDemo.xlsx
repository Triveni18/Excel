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26C22D1D-1BF2-4E7D-8C70-92CBF1563403}" xr6:coauthVersionLast="47" xr6:coauthVersionMax="47" xr10:uidLastSave="{00000000-0000-0000-0000-000000000000}"/>
  <bookViews>
    <workbookView xWindow="-108" yWindow="-108" windowWidth="23256" windowHeight="13896" activeTab="5" xr2:uid="{1E48C626-FD5B-460A-9303-EACB714E557B}"/>
  </bookViews>
  <sheets>
    <sheet name="Sheet1 (3)" sheetId="9" r:id="rId1"/>
    <sheet name="Sheet1 (2)" sheetId="8" r:id="rId2"/>
    <sheet name="Sheet1" sheetId="3" r:id="rId3"/>
    <sheet name="Sheet2" sheetId="4" r:id="rId4"/>
    <sheet name="Sheet5" sheetId="5" r:id="rId5"/>
    <sheet name="Sheet5 (2)" sheetId="7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" i="9"/>
  <c r="K3" i="8" a="1"/>
  <c r="K3" i="8" s="1"/>
  <c r="K4" i="8" a="1"/>
  <c r="K4" i="8"/>
  <c r="K5" i="8" a="1"/>
  <c r="K5" i="8" s="1"/>
  <c r="K6" i="8" a="1"/>
  <c r="K6" i="8"/>
  <c r="K7" i="8" a="1"/>
  <c r="K7" i="8"/>
  <c r="K8" i="8" a="1"/>
  <c r="K8" i="8" s="1"/>
  <c r="K9" i="8" a="1"/>
  <c r="K9" i="8" s="1"/>
  <c r="K10" i="8" a="1"/>
  <c r="K10" i="8" s="1"/>
  <c r="K11" i="8" a="1"/>
  <c r="K11" i="8"/>
  <c r="K12" i="8" a="1"/>
  <c r="K12" i="8"/>
  <c r="K2" i="8" a="1"/>
  <c r="K2" i="8" s="1"/>
  <c r="I14" i="3"/>
  <c r="J14" i="3"/>
  <c r="K14" i="3"/>
  <c r="I13" i="3"/>
  <c r="J13" i="3"/>
  <c r="K13" i="3"/>
  <c r="K2" i="3"/>
  <c r="K3" i="3"/>
  <c r="K4" i="3"/>
  <c r="K5" i="3"/>
  <c r="K6" i="3"/>
  <c r="K7" i="3"/>
  <c r="K8" i="3"/>
  <c r="K9" i="3"/>
  <c r="K10" i="3"/>
  <c r="K11" i="3"/>
  <c r="K12" i="3"/>
  <c r="J2" i="3"/>
  <c r="J3" i="3"/>
  <c r="J4" i="3"/>
  <c r="J5" i="3"/>
  <c r="J6" i="3"/>
  <c r="J7" i="3"/>
  <c r="J8" i="3"/>
  <c r="J9" i="3"/>
  <c r="J10" i="3"/>
  <c r="J11" i="3"/>
  <c r="J12" i="3"/>
  <c r="I2" i="3"/>
  <c r="I3" i="3"/>
  <c r="I4" i="3"/>
  <c r="I5" i="3"/>
  <c r="I6" i="3"/>
  <c r="I7" i="3"/>
  <c r="I8" i="3"/>
  <c r="I9" i="3"/>
  <c r="I10" i="3"/>
  <c r="I11" i="3"/>
  <c r="I12" i="3"/>
  <c r="K16" i="8"/>
  <c r="K17" i="8"/>
  <c r="K18" i="8"/>
  <c r="K19" i="8"/>
  <c r="K20" i="8"/>
  <c r="K21" i="8"/>
  <c r="K22" i="8"/>
  <c r="K23" i="8"/>
  <c r="K24" i="8"/>
  <c r="K25" i="8"/>
  <c r="K15" i="8"/>
  <c r="J16" i="8"/>
  <c r="J17" i="8"/>
  <c r="J18" i="8"/>
  <c r="J19" i="8"/>
  <c r="J20" i="8"/>
  <c r="J21" i="8"/>
  <c r="J22" i="8"/>
  <c r="J23" i="8"/>
  <c r="J24" i="8"/>
  <c r="J25" i="8"/>
  <c r="J15" i="8"/>
  <c r="J3" i="8"/>
  <c r="J4" i="8"/>
  <c r="J5" i="8"/>
  <c r="J6" i="8"/>
  <c r="J7" i="8"/>
  <c r="J8" i="8"/>
  <c r="J9" i="8"/>
  <c r="J10" i="8"/>
  <c r="J11" i="8"/>
  <c r="J12" i="8"/>
  <c r="J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<sst xmlns="http://schemas.openxmlformats.org/spreadsheetml/2006/main" count="4082" uniqueCount="675">
  <si>
    <t>EmpID</t>
  </si>
  <si>
    <t>Name</t>
  </si>
  <si>
    <t>Department</t>
  </si>
  <si>
    <t>Salary</t>
  </si>
  <si>
    <t>JoinDate</t>
  </si>
  <si>
    <t>E001</t>
  </si>
  <si>
    <t>Sales</t>
  </si>
  <si>
    <t>E002</t>
  </si>
  <si>
    <t>HR</t>
  </si>
  <si>
    <t>E003</t>
  </si>
  <si>
    <t>IT</t>
  </si>
  <si>
    <t>E004</t>
  </si>
  <si>
    <t>Finance</t>
  </si>
  <si>
    <t>E005</t>
  </si>
  <si>
    <t>Marketing</t>
  </si>
  <si>
    <t>E006</t>
  </si>
  <si>
    <t>Operations</t>
  </si>
  <si>
    <t>E007</t>
  </si>
  <si>
    <t>Legal</t>
  </si>
  <si>
    <t>E008</t>
  </si>
  <si>
    <t>R&amp;D</t>
  </si>
  <si>
    <t>E009</t>
  </si>
  <si>
    <t>Support</t>
  </si>
  <si>
    <t>E010</t>
  </si>
  <si>
    <t>Admin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</si>
  <si>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</si>
  <si>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</si>
  <si>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</si>
  <si>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</si>
  <si>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</si>
  <si>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</si>
  <si>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</si>
  <si>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</si>
  <si>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</si>
  <si>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</si>
  <si>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</si>
  <si>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</si>
  <si>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</si>
  <si>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</si>
  <si>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</si>
  <si>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</si>
  <si>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</si>
  <si>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</si>
  <si>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</si>
  <si>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</si>
  <si>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</si>
  <si>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</si>
  <si>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</si>
  <si>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</si>
  <si>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</si>
  <si>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</si>
  <si>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</si>
  <si>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</si>
  <si>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</si>
  <si>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</si>
  <si>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</si>
  <si>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</si>
  <si>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</si>
  <si>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</si>
  <si>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</si>
  <si>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</si>
  <si>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</si>
  <si>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</si>
  <si>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</si>
  <si>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</si>
  <si>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</si>
  <si>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</si>
  <si>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</si>
  <si>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</si>
  <si>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</si>
  <si>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</si>
  <si>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</si>
  <si>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</si>
  <si>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</si>
  <si>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</si>
  <si>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</si>
  <si>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</si>
  <si>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</si>
  <si>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</si>
  <si>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</si>
  <si>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</si>
  <si>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</si>
  <si>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</si>
  <si>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</si>
  <si>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</si>
  <si>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</si>
  <si>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</si>
  <si>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</si>
  <si>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</si>
  <si>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</si>
  <si>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</si>
  <si>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</si>
  <si>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</si>
  <si>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</si>
  <si>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</si>
  <si>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</si>
  <si>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</si>
  <si>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</si>
  <si>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</si>
  <si>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</si>
  <si>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</si>
  <si>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</si>
  <si>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</si>
  <si>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</si>
  <si>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</si>
  <si>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</si>
  <si>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</si>
  <si>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</si>
  <si>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</si>
  <si>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</si>
  <si>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</si>
  <si>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</si>
  <si>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</si>
  <si>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</si>
  <si>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</si>
  <si>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</si>
  <si>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</si>
  <si>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</si>
  <si>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</si>
  <si>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</si>
  <si>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</si>
  <si>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</si>
  <si>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</si>
  <si>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</si>
  <si>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</si>
  <si>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</si>
  <si>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</si>
  <si>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</si>
  <si>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</si>
  <si>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</si>
  <si>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</si>
  <si>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</si>
  <si>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</si>
  <si>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</si>
  <si>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</si>
  <si>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</si>
  <si>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</si>
  <si>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</si>
  <si>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</si>
  <si>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</si>
  <si>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</si>
  <si>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</si>
  <si>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</si>
  <si>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</si>
  <si>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</si>
  <si>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</si>
  <si>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</si>
  <si>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</si>
  <si>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</si>
  <si>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</si>
  <si>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</si>
  <si>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</si>
  <si>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</si>
  <si>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</si>
  <si>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</si>
  <si>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</si>
  <si>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</si>
  <si>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</si>
  <si>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</si>
  <si>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</si>
  <si>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</si>
  <si>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</si>
  <si>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</si>
  <si>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</si>
  <si>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</si>
  <si>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</si>
  <si>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</si>
  <si>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</si>
  <si>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</si>
  <si>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</si>
  <si>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</si>
  <si>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</si>
  <si>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</si>
  <si>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</si>
  <si>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</si>
  <si>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</si>
  <si>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</si>
  <si>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</si>
  <si>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</si>
  <si>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</si>
  <si>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</si>
  <si>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</si>
  <si>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</si>
  <si>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</si>
  <si>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</si>
  <si>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</si>
  <si>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</si>
  <si>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</si>
  <si>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</si>
  <si>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</si>
  <si>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</si>
  <si>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</si>
  <si>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</si>
  <si>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</si>
  <si>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</si>
  <si>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</si>
  <si>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</si>
  <si>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</si>
  <si>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</si>
  <si>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</si>
  <si>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</si>
  <si>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</si>
  <si>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</si>
  <si>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</si>
  <si>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</si>
  <si>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</si>
  <si>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</si>
  <si>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</si>
  <si>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</si>
  <si>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</si>
  <si>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</si>
  <si>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</si>
  <si>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</si>
  <si>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</si>
  <si>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</si>
  <si>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Aarav Sharma</t>
  </si>
  <si>
    <t>Ananya Verma</t>
  </si>
  <si>
    <t>Arjun Patel</t>
  </si>
  <si>
    <t>Divya Kapoor</t>
  </si>
  <si>
    <t>Rohan Mehta</t>
  </si>
  <si>
    <t>Neha Singh</t>
  </si>
  <si>
    <t>Vikram Rao</t>
  </si>
  <si>
    <t>Simran Kaur</t>
  </si>
  <si>
    <t>Sameer Kulkarni</t>
  </si>
  <si>
    <t>Priya Nair</t>
  </si>
  <si>
    <t>Kunal Joshi</t>
  </si>
  <si>
    <t>Sana Iqbal</t>
  </si>
  <si>
    <t>Aditya Reddy</t>
  </si>
  <si>
    <t>Meera Chawla</t>
  </si>
  <si>
    <t>Harsh Malhotra</t>
  </si>
  <si>
    <t>Anika Desai</t>
  </si>
  <si>
    <t>Prateek Bhat</t>
  </si>
  <si>
    <t>Shreya Ghosh</t>
  </si>
  <si>
    <t>Manish Sinha</t>
  </si>
  <si>
    <t>Alisha Menon</t>
  </si>
  <si>
    <t>Varun Gupta</t>
  </si>
  <si>
    <t>Ritika Sharma</t>
  </si>
  <si>
    <t>Ankit Agarwal</t>
  </si>
  <si>
    <t>Deepa Nambiar</t>
  </si>
  <si>
    <t>Siddharth Jain</t>
  </si>
  <si>
    <t>Karishma Bhatt</t>
  </si>
  <si>
    <t>Nikhil Kapoor</t>
  </si>
  <si>
    <t>Rekha Pillai</t>
  </si>
  <si>
    <t>Pranav Dutta</t>
  </si>
  <si>
    <t>Anushka Roy</t>
  </si>
  <si>
    <t>Rajiv Menon</t>
  </si>
  <si>
    <t>Shalini Verma</t>
  </si>
  <si>
    <t>Mayank Sood</t>
  </si>
  <si>
    <t>Anu Thomas</t>
  </si>
  <si>
    <t>Arnav Bhattacharya</t>
  </si>
  <si>
    <t>Neelam Chatterjee</t>
  </si>
  <si>
    <t>Sameer Iyer</t>
  </si>
  <si>
    <t>Divya Rao</t>
  </si>
  <si>
    <t>Akash Nair</t>
  </si>
  <si>
    <t>Smita Kulkarni</t>
  </si>
  <si>
    <t>Anirudh Shah</t>
  </si>
  <si>
    <t>Parul Mehra</t>
  </si>
  <si>
    <t>Devansh Jain</t>
  </si>
  <si>
    <t>Neeta Saini</t>
  </si>
  <si>
    <t>Arpita Goyal</t>
  </si>
  <si>
    <t>Rajesh Nambiar</t>
  </si>
  <si>
    <t>Sunita Rao</t>
  </si>
  <si>
    <t>Anmol Verma</t>
  </si>
  <si>
    <t>Harpreet Singh</t>
  </si>
  <si>
    <t>Leena D'Souza</t>
  </si>
  <si>
    <t>Prakash Kulkarni</t>
  </si>
  <si>
    <t>Shweta Bansal</t>
  </si>
  <si>
    <t>Arjun Nair</t>
  </si>
  <si>
    <t>Monica Rao</t>
  </si>
  <si>
    <t>Vivek Sharma</t>
  </si>
  <si>
    <t>Rachna Kapoor</t>
  </si>
  <si>
    <t>Anil Deshmukh</t>
  </si>
  <si>
    <t>Trisha Banerjee</t>
  </si>
  <si>
    <t>Rajeev Menon</t>
  </si>
  <si>
    <t>Megha Sinha</t>
  </si>
  <si>
    <t>Sameer Patel</t>
  </si>
  <si>
    <t>Anjali Rao</t>
  </si>
  <si>
    <t>Krishna Iyer</t>
  </si>
  <si>
    <t>Shivani Gupta</t>
  </si>
  <si>
    <t>Aditya Malhotra</t>
  </si>
  <si>
    <t>Pooja Sharma</t>
  </si>
  <si>
    <t>Raj Kumar</t>
  </si>
  <si>
    <t>Neelima Joshi</t>
  </si>
  <si>
    <t>Anupam Roy</t>
  </si>
  <si>
    <t>Sonia Bhat</t>
  </si>
  <si>
    <t>Arvind Chopra</t>
  </si>
  <si>
    <t>Meera Iyer</t>
  </si>
  <si>
    <t>Pranav Shah</t>
  </si>
  <si>
    <t>Shikha Sood</t>
  </si>
  <si>
    <t>Rajeev Gupta</t>
  </si>
  <si>
    <t>Anita Menon</t>
  </si>
  <si>
    <t>Vinod Bhat</t>
  </si>
  <si>
    <t>Anushree Ghosh</t>
  </si>
  <si>
    <t>Manu Kapoor</t>
  </si>
  <si>
    <t>Reema Nair</t>
  </si>
  <si>
    <t>Arjun Verma</t>
  </si>
  <si>
    <t>Divya Singh</t>
  </si>
  <si>
    <t>Rahul Desai</t>
  </si>
  <si>
    <t>Shalini Rao</t>
  </si>
  <si>
    <t>Anupama Chatterjee</t>
  </si>
  <si>
    <t>Sameer Malhotra</t>
  </si>
  <si>
    <t>Neeraj Kumar</t>
  </si>
  <si>
    <t>Prerna Bhatt</t>
  </si>
  <si>
    <t>Arvind Saini</t>
  </si>
  <si>
    <t>Geeta Pillai</t>
  </si>
  <si>
    <t>Akshay Mehta</t>
  </si>
  <si>
    <t>Anita Iqbal</t>
  </si>
  <si>
    <t>Devika Nair</t>
  </si>
  <si>
    <t>Rakesh Sharma</t>
  </si>
  <si>
    <t>Shreya Kapoor</t>
  </si>
  <si>
    <t>Manish Verma</t>
  </si>
  <si>
    <t>Sunil Rao</t>
  </si>
  <si>
    <t>Ankita Banerjee</t>
  </si>
  <si>
    <t>Prakash Singh</t>
  </si>
  <si>
    <t>Radha Menon</t>
  </si>
  <si>
    <t>Vikram Patel</t>
  </si>
  <si>
    <t>Neha Gupta</t>
  </si>
  <si>
    <t>Arjun Sharma</t>
  </si>
  <si>
    <t>Divya Mehra</t>
  </si>
  <si>
    <t>Rohit Nair</t>
  </si>
  <si>
    <t>Anjali Joshi</t>
  </si>
  <si>
    <t>Praveen Kumar</t>
  </si>
  <si>
    <t>Shweta Rao</t>
  </si>
  <si>
    <t>Manisha Sood</t>
  </si>
  <si>
    <t>Arun D'Souza</t>
  </si>
  <si>
    <t>Neeraj Sharma</t>
  </si>
  <si>
    <t>Megha Verma</t>
  </si>
  <si>
    <t>Aditya Kapoor</t>
  </si>
  <si>
    <t>Sunita Chawla</t>
  </si>
  <si>
    <t>Rahul Bhatt</t>
  </si>
  <si>
    <t>Anita Reddy</t>
  </si>
  <si>
    <t>Prakash Iyer</t>
  </si>
  <si>
    <t>Swati Banerjee</t>
  </si>
  <si>
    <t>Manoj Menon</t>
  </si>
  <si>
    <t>Neha Saini</t>
  </si>
  <si>
    <t>Arjun Gupta</t>
  </si>
  <si>
    <t>Shreya Sharma</t>
  </si>
  <si>
    <t>Varun Joshi</t>
  </si>
  <si>
    <t>Deepika Rao</t>
  </si>
  <si>
    <t>Sameer Khan</t>
  </si>
  <si>
    <t>Anjali Menon</t>
  </si>
  <si>
    <t>Rajesh Patel</t>
  </si>
  <si>
    <t>Meera Nambiar</t>
  </si>
  <si>
    <t>Pranav Kulkarni</t>
  </si>
  <si>
    <t>Sunita Dutta</t>
  </si>
  <si>
    <t>Arnav Sharma</t>
  </si>
  <si>
    <t>Anita Verma</t>
  </si>
  <si>
    <t>Krishna Menon</t>
  </si>
  <si>
    <t>Rekha Malhotra</t>
  </si>
  <si>
    <t>Rahul Chopra</t>
  </si>
  <si>
    <t>Neha Bhattacharya</t>
  </si>
  <si>
    <t>Pradeep Iyer</t>
  </si>
  <si>
    <t>Ankita Ghosh</t>
  </si>
  <si>
    <t>Manish Nair</t>
  </si>
  <si>
    <t>Divya Kulkarni</t>
  </si>
  <si>
    <t>Aditya Shah</t>
  </si>
  <si>
    <t>Shalini Menon</t>
  </si>
  <si>
    <t>Arjun Bhat</t>
  </si>
  <si>
    <t>Neeta Gupta</t>
  </si>
  <si>
    <t>Prerna Kapoor</t>
  </si>
  <si>
    <t>Rajiv Desai</t>
  </si>
  <si>
    <t>Anupama Rao</t>
  </si>
  <si>
    <t>Sameer Verma</t>
  </si>
  <si>
    <t>Meera Singh</t>
  </si>
  <si>
    <t>Arun Menon</t>
  </si>
  <si>
    <t>Neeraj Gupta</t>
  </si>
  <si>
    <t>Shweta Sharma</t>
  </si>
  <si>
    <t>Pratik Patel</t>
  </si>
  <si>
    <t>Anjali Chawla</t>
  </si>
  <si>
    <t>Rohit Bhatt</t>
  </si>
  <si>
    <t>Divya Reddy</t>
  </si>
  <si>
    <t>Sunil Iyer</t>
  </si>
  <si>
    <t>Megha Banerjee</t>
  </si>
  <si>
    <t>Arvind Menon</t>
  </si>
  <si>
    <t>Anita Saini</t>
  </si>
  <si>
    <t>Prakash Sharma</t>
  </si>
  <si>
    <t>Neha Verma</t>
  </si>
  <si>
    <t>Aditya Joshi</t>
  </si>
  <si>
    <t>Shweta Kapoor</t>
  </si>
  <si>
    <t>Manish Reddy</t>
  </si>
  <si>
    <t>Anjali Dutta</t>
  </si>
  <si>
    <t>Rajesh Iyer</t>
  </si>
  <si>
    <t>Meera Shah</t>
  </si>
  <si>
    <t>Pranav Sood</t>
  </si>
  <si>
    <t>Sunita Menon</t>
  </si>
  <si>
    <t>Arjun Chopra</t>
  </si>
  <si>
    <t>Neha Nair</t>
  </si>
  <si>
    <t>Devanshi Gupta</t>
  </si>
  <si>
    <t>Rakesh Verma</t>
  </si>
  <si>
    <t>Shreya Patel</t>
  </si>
  <si>
    <t>Anil Menon</t>
  </si>
  <si>
    <t>Rekha Bhat</t>
  </si>
  <si>
    <t>Pratik Ghosh</t>
  </si>
  <si>
    <t>Manish Kapoor</t>
  </si>
  <si>
    <t>Divya Nambiar</t>
  </si>
  <si>
    <t>Arjun Kumar</t>
  </si>
  <si>
    <t>Shalini Iqbal</t>
  </si>
  <si>
    <t>Krishna Sharma</t>
  </si>
  <si>
    <t>Neeta Menon</t>
  </si>
  <si>
    <t>Rahul Nair</t>
  </si>
  <si>
    <t>Anita Kulkarni</t>
  </si>
  <si>
    <t>Praveen Shah</t>
  </si>
  <si>
    <t>Megha Bhatt</t>
  </si>
  <si>
    <t>Arvind Gupta</t>
  </si>
  <si>
    <t>Sunita D'Souza</t>
  </si>
  <si>
    <t>Aditya Mehta</t>
  </si>
  <si>
    <t>Neha Chopra</t>
  </si>
  <si>
    <t>Devansh Rao</t>
  </si>
  <si>
    <t>Shreya Menon</t>
  </si>
  <si>
    <t>Manish Shah</t>
  </si>
  <si>
    <t>Anjali Iyer</t>
  </si>
  <si>
    <t>Prakash Bhatt</t>
  </si>
  <si>
    <t>Meera Ghosh</t>
  </si>
  <si>
    <t>Arjun Singh</t>
  </si>
  <si>
    <t>Neeta Patel</t>
  </si>
  <si>
    <t>Address</t>
  </si>
  <si>
    <t>12 MG Road</t>
  </si>
  <si>
    <t xml:space="preserve"> Connaught Place</t>
  </si>
  <si>
    <t xml:space="preserve"> New Delhi</t>
  </si>
  <si>
    <t xml:space="preserve"> Delhi</t>
  </si>
  <si>
    <t>45 Park Street</t>
  </si>
  <si>
    <t xml:space="preserve"> Kolkata</t>
  </si>
  <si>
    <t xml:space="preserve"> West Bengal</t>
  </si>
  <si>
    <t>7 Brigade Road</t>
  </si>
  <si>
    <t xml:space="preserve"> Bangalore</t>
  </si>
  <si>
    <t xml:space="preserve"> Karnataka</t>
  </si>
  <si>
    <t>88 Anna Salai</t>
  </si>
  <si>
    <t xml:space="preserve"> Chennai</t>
  </si>
  <si>
    <t xml:space="preserve"> Tamil Nadu</t>
  </si>
  <si>
    <t>101 Marine Drive</t>
  </si>
  <si>
    <t xml:space="preserve"> Mumbai</t>
  </si>
  <si>
    <t xml:space="preserve"> Maharashtra</t>
  </si>
  <si>
    <t>22 MG Road</t>
  </si>
  <si>
    <t xml:space="preserve"> Pune</t>
  </si>
  <si>
    <t>5 Banjara Hills</t>
  </si>
  <si>
    <t xml:space="preserve"> Hyderabad</t>
  </si>
  <si>
    <t xml:space="preserve"> Telangana</t>
  </si>
  <si>
    <t>3 SG Highway</t>
  </si>
  <si>
    <t xml:space="preserve"> Ahmedabad</t>
  </si>
  <si>
    <t xml:space="preserve"> Gujarat</t>
  </si>
  <si>
    <t>14 Hazratganj</t>
  </si>
  <si>
    <t xml:space="preserve"> Lucknow</t>
  </si>
  <si>
    <t xml:space="preserve"> Uttar Pradesh</t>
  </si>
  <si>
    <t>9 MI Road</t>
  </si>
  <si>
    <t xml:space="preserve"> Jaipur</t>
  </si>
  <si>
    <t xml:space="preserve"> Rajasthan</t>
  </si>
  <si>
    <t>2 Sector 17</t>
  </si>
  <si>
    <t xml:space="preserve"> Chandigarh</t>
  </si>
  <si>
    <t>18 Udyog Vihar</t>
  </si>
  <si>
    <t xml:space="preserve"> Gurgaon</t>
  </si>
  <si>
    <t xml:space="preserve"> Haryana</t>
  </si>
  <si>
    <t>7 Sector 18</t>
  </si>
  <si>
    <t xml:space="preserve"> Noida</t>
  </si>
  <si>
    <t>33 Raj Nagar</t>
  </si>
  <si>
    <t xml:space="preserve"> Ghaziabad</t>
  </si>
  <si>
    <t>56 Sector 15</t>
  </si>
  <si>
    <t xml:space="preserve"> Faridabad</t>
  </si>
  <si>
    <t>11 Civil Lines</t>
  </si>
  <si>
    <t xml:space="preserve"> Kanpur</t>
  </si>
  <si>
    <t>4 Ring Road</t>
  </si>
  <si>
    <t xml:space="preserve"> Surat</t>
  </si>
  <si>
    <t>27 Alkapuri</t>
  </si>
  <si>
    <t xml:space="preserve"> Vadodara</t>
  </si>
  <si>
    <t>19 Arera Hills</t>
  </si>
  <si>
    <t xml:space="preserve"> Bhopal</t>
  </si>
  <si>
    <t xml:space="preserve"> Madhya Pradesh</t>
  </si>
  <si>
    <t>8 MG Road</t>
  </si>
  <si>
    <t xml:space="preserve"> Indore</t>
  </si>
  <si>
    <t>21 Bailey Road</t>
  </si>
  <si>
    <t xml:space="preserve"> Patna</t>
  </si>
  <si>
    <t xml:space="preserve"> Bihar</t>
  </si>
  <si>
    <t>12 Doranda Road</t>
  </si>
  <si>
    <t xml:space="preserve"> Ranchi</t>
  </si>
  <si>
    <t xml:space="preserve"> Jharkhand</t>
  </si>
  <si>
    <t>6 Janpath</t>
  </si>
  <si>
    <t xml:space="preserve"> Bhubaneswar</t>
  </si>
  <si>
    <t xml:space="preserve"> Odisha</t>
  </si>
  <si>
    <t>44 Avinashi Road</t>
  </si>
  <si>
    <t xml:space="preserve"> Coimbatore</t>
  </si>
  <si>
    <t>3 MG Road</t>
  </si>
  <si>
    <t xml:space="preserve"> Kochi</t>
  </si>
  <si>
    <t xml:space="preserve"> Kerala</t>
  </si>
  <si>
    <t>55 Vazhuthacaud</t>
  </si>
  <si>
    <t xml:space="preserve"> Thiruvananthapuram</t>
  </si>
  <si>
    <t>9 Nazarbad</t>
  </si>
  <si>
    <t xml:space="preserve"> Mysore</t>
  </si>
  <si>
    <t>2 Sitabuldi</t>
  </si>
  <si>
    <t xml:space="preserve"> Nagpur</t>
  </si>
  <si>
    <t>18 College Road</t>
  </si>
  <si>
    <t xml:space="preserve"> Nashik</t>
  </si>
  <si>
    <t>7 Sardarpura</t>
  </si>
  <si>
    <t xml:space="preserve"> Jodhpur</t>
  </si>
  <si>
    <t>14 Dewali</t>
  </si>
  <si>
    <t xml:space="preserve"> Udaipur</t>
  </si>
  <si>
    <t>28 Sanjay Place</t>
  </si>
  <si>
    <t xml:space="preserve"> Agra</t>
  </si>
  <si>
    <t>10 Lanka Road</t>
  </si>
  <si>
    <t xml:space="preserve"> Varanasi</t>
  </si>
  <si>
    <t>5 Shastri Nagar</t>
  </si>
  <si>
    <t xml:space="preserve"> Meerut</t>
  </si>
  <si>
    <t>3 Ferozepur Road</t>
  </si>
  <si>
    <t xml:space="preserve"> Ludhiana</t>
  </si>
  <si>
    <t xml:space="preserve"> Punjab</t>
  </si>
  <si>
    <t>12 Lawrence Road</t>
  </si>
  <si>
    <t xml:space="preserve"> Amritsar</t>
  </si>
  <si>
    <t>9 Model Town</t>
  </si>
  <si>
    <t xml:space="preserve"> Jalandhar</t>
  </si>
  <si>
    <t>21 Rajpur Road</t>
  </si>
  <si>
    <t xml:space="preserve"> Dehradun</t>
  </si>
  <si>
    <t xml:space="preserve"> Uttarakhand</t>
  </si>
  <si>
    <t>6 The Mall</t>
  </si>
  <si>
    <t xml:space="preserve"> Shimla</t>
  </si>
  <si>
    <t xml:space="preserve"> Himachal Pradesh</t>
  </si>
  <si>
    <t>11 Lal Chowk</t>
  </si>
  <si>
    <t xml:space="preserve"> Srinagar</t>
  </si>
  <si>
    <t xml:space="preserve"> Jammu and Kashmir</t>
  </si>
  <si>
    <t>8 GS Road</t>
  </si>
  <si>
    <t xml:space="preserve"> Guwahati</t>
  </si>
  <si>
    <t xml:space="preserve"> Assam</t>
  </si>
  <si>
    <t>4 Thangal Bazar</t>
  </si>
  <si>
    <t xml:space="preserve"> Imphal</t>
  </si>
  <si>
    <t xml:space="preserve"> Manipur</t>
  </si>
  <si>
    <t>2 VIP Road</t>
  </si>
  <si>
    <t xml:space="preserve"> Itanagar</t>
  </si>
  <si>
    <t xml:space="preserve"> Arunachal Pradesh</t>
  </si>
  <si>
    <t>7 Kohima Road</t>
  </si>
  <si>
    <t xml:space="preserve"> Kohima</t>
  </si>
  <si>
    <t xml:space="preserve"> Nagaland</t>
  </si>
  <si>
    <t>15 Zarkawt</t>
  </si>
  <si>
    <t xml:space="preserve"> Aizawl</t>
  </si>
  <si>
    <t xml:space="preserve"> Mizoram</t>
  </si>
  <si>
    <t>9 Aberdeen Bazaar</t>
  </si>
  <si>
    <t xml:space="preserve"> Port Blair</t>
  </si>
  <si>
    <t xml:space="preserve"> Andaman and Nicobar Islands</t>
  </si>
  <si>
    <t>33 MG Road</t>
  </si>
  <si>
    <t>27 Park Street</t>
  </si>
  <si>
    <t>18 Church Street</t>
  </si>
  <si>
    <t>44 T Nagar</t>
  </si>
  <si>
    <t>66 Colaba Causeway</t>
  </si>
  <si>
    <t>12 Koregaon Park</t>
  </si>
  <si>
    <t>8 CG Road</t>
  </si>
  <si>
    <t>20 Hazratganj</t>
  </si>
  <si>
    <t>3 MI Road</t>
  </si>
  <si>
    <t>11 Sector 17</t>
  </si>
  <si>
    <t>29 Udyog Vihar</t>
  </si>
  <si>
    <t>14 Sector 62</t>
  </si>
  <si>
    <t>2 Indirapuram</t>
  </si>
  <si>
    <t>9 Sector 15</t>
  </si>
  <si>
    <t>18 Swaroop Nagar</t>
  </si>
  <si>
    <t>7 Athwagate</t>
  </si>
  <si>
    <t>21 Sama Road</t>
  </si>
  <si>
    <t>16 Bittan Market</t>
  </si>
  <si>
    <t>4 MR10 Road</t>
  </si>
  <si>
    <t>12 Kankarbagh</t>
  </si>
  <si>
    <t>8 Hinoo Road</t>
  </si>
  <si>
    <t>5 Rasulgarh</t>
  </si>
  <si>
    <t>10 Gandhipuram</t>
  </si>
  <si>
    <t>3 Fort Kochi</t>
  </si>
  <si>
    <t>22 Pattom</t>
  </si>
  <si>
    <t>6 Nazarbad Road</t>
  </si>
  <si>
    <t>11 Dharampeth</t>
  </si>
  <si>
    <t>14 College Road</t>
  </si>
  <si>
    <t>9 Sardarpura</t>
  </si>
  <si>
    <t>5 Dewali</t>
  </si>
  <si>
    <t>18 Sanjay Place</t>
  </si>
  <si>
    <t>2 Lanka Road</t>
  </si>
  <si>
    <t>7 Shastri Nagar</t>
  </si>
  <si>
    <t>20 Ferozepur Road</t>
  </si>
  <si>
    <t>25 Rajpur Road</t>
  </si>
  <si>
    <t>3 Thangal Bazar</t>
  </si>
  <si>
    <t>14 VIP Road</t>
  </si>
  <si>
    <t>5 Kohima Road</t>
  </si>
  <si>
    <t>19 Zarkawt</t>
  </si>
  <si>
    <t>2 Aberdeen Bazaar</t>
  </si>
  <si>
    <t>28 MG Road</t>
  </si>
  <si>
    <t>33 Park Street</t>
  </si>
  <si>
    <t>44 Anna Salai</t>
  </si>
  <si>
    <t>66 Marine Drive</t>
  </si>
  <si>
    <t>9 Banjara Hills</t>
  </si>
  <si>
    <t>5 SG Highway</t>
  </si>
  <si>
    <t>21 Hazratganj</t>
  </si>
  <si>
    <t>14 MI Road</t>
  </si>
  <si>
    <t>8 Sector 17</t>
  </si>
  <si>
    <t>20 Udyog Vihar</t>
  </si>
  <si>
    <t>11 Sector 18</t>
  </si>
  <si>
    <t>6 Raj Nagar</t>
  </si>
  <si>
    <t>3 Indirapuram</t>
  </si>
  <si>
    <t>17 Swaroop Nagar</t>
  </si>
  <si>
    <t>9 Athwagate</t>
  </si>
  <si>
    <t>2 Sama Road</t>
  </si>
  <si>
    <t>12 Arera Hills</t>
  </si>
  <si>
    <t>5 MR10 Road</t>
  </si>
  <si>
    <t>18 Bailey Road</t>
  </si>
  <si>
    <t>7 Doranda Road</t>
  </si>
  <si>
    <t>4 Rasulgarh</t>
  </si>
  <si>
    <t>6 Fort Kochi</t>
  </si>
  <si>
    <t>21 Pattom</t>
  </si>
  <si>
    <t>8 Nazarbad Road</t>
  </si>
  <si>
    <t>14 Dharampeth</t>
  </si>
  <si>
    <t>3 College Road</t>
  </si>
  <si>
    <t>11 Sardarpura</t>
  </si>
  <si>
    <t>9 Dewali</t>
  </si>
  <si>
    <t>6 Sanjay Place</t>
  </si>
  <si>
    <t>22 Lanka Road</t>
  </si>
  <si>
    <t>18 Ferozepur Road</t>
  </si>
  <si>
    <t>7 Lawrence Road</t>
  </si>
  <si>
    <t>4 Model Town</t>
  </si>
  <si>
    <t>12 Rajpur Road</t>
  </si>
  <si>
    <t>2 The Mall</t>
  </si>
  <si>
    <t>9 Lal Chowk</t>
  </si>
  <si>
    <t>16 GS Road</t>
  </si>
  <si>
    <t>5 Thangal Bazar</t>
  </si>
  <si>
    <t>11 VIP Road</t>
  </si>
  <si>
    <t>8 Kohima Road</t>
  </si>
  <si>
    <t>3 Zarkawt</t>
  </si>
  <si>
    <t>14 Aberdeen Bazaar</t>
  </si>
  <si>
    <t>10 MG Road</t>
  </si>
  <si>
    <t>26 Park Street</t>
  </si>
  <si>
    <t>4 Brigade Road</t>
  </si>
  <si>
    <t>19 Anna Salai</t>
  </si>
  <si>
    <t>33 Marine Drive</t>
  </si>
  <si>
    <t>15 Koregaon Park</t>
  </si>
  <si>
    <t>6 Banjara Hills</t>
  </si>
  <si>
    <t>9 CG Road</t>
  </si>
  <si>
    <t>12 Hazratganj</t>
  </si>
  <si>
    <t>8 MI Road</t>
  </si>
  <si>
    <t>21 Sector 17</t>
  </si>
  <si>
    <t>5 Udyog Vihar</t>
  </si>
  <si>
    <t>17 Sector 18</t>
  </si>
  <si>
    <t>3 Raj Nagar</t>
  </si>
  <si>
    <t>11 Indirapuram</t>
  </si>
  <si>
    <t>6 Swaroop Nagar</t>
  </si>
  <si>
    <t>14 Sama Road</t>
  </si>
  <si>
    <t>7 Arera Hills</t>
  </si>
  <si>
    <t>10 MR10 Road</t>
  </si>
  <si>
    <t>2 Bailey Road</t>
  </si>
  <si>
    <t>8 Doranda Road</t>
  </si>
  <si>
    <t>13 Rasulgarh</t>
  </si>
  <si>
    <t>5 Gandhipuram</t>
  </si>
  <si>
    <t>18 Pattom</t>
  </si>
  <si>
    <t>9 Nazarbad Road</t>
  </si>
  <si>
    <t>12 Dharampeth</t>
  </si>
  <si>
    <t>4 College Road</t>
  </si>
  <si>
    <t>16 Dewali</t>
  </si>
  <si>
    <t>10 Sanjay Place</t>
  </si>
  <si>
    <t>14 Shastri Nagar</t>
  </si>
  <si>
    <t>11 Ferozepur Road</t>
  </si>
  <si>
    <t>6 Lawrence Road</t>
  </si>
  <si>
    <t>8 Model Town</t>
  </si>
  <si>
    <t>20 Rajpur Road</t>
  </si>
  <si>
    <t>3 The Mall</t>
  </si>
  <si>
    <t>5 GS Road</t>
  </si>
  <si>
    <t>12 Thangal Bazar</t>
  </si>
  <si>
    <t>7 VIP Road</t>
  </si>
  <si>
    <t>4 Kohima Road</t>
  </si>
  <si>
    <t>6 Aberdeen Bazaar</t>
  </si>
  <si>
    <t>21 MG Road</t>
  </si>
  <si>
    <t>28 Park Street</t>
  </si>
  <si>
    <t>10 Brigade Road</t>
  </si>
  <si>
    <t>17 Anna Salai</t>
  </si>
  <si>
    <t>13 Marine Drive</t>
  </si>
  <si>
    <t>8 Koregaon Park</t>
  </si>
  <si>
    <t>19 CG Road</t>
  </si>
  <si>
    <t>11 Hazratganj</t>
  </si>
  <si>
    <t>5 MI Road</t>
  </si>
  <si>
    <t>14 Sector 17</t>
  </si>
  <si>
    <t>9 Udyog Vihar</t>
  </si>
  <si>
    <t>4 Sector 18</t>
  </si>
  <si>
    <t>2 Raj Nagar</t>
  </si>
  <si>
    <t>13 Indirapuram</t>
  </si>
  <si>
    <t>7 Swaroop Nagar</t>
  </si>
  <si>
    <t>Pin Code</t>
  </si>
  <si>
    <t>State</t>
  </si>
  <si>
    <t>Location</t>
  </si>
  <si>
    <t>Name 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</si>
</sst>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8" xfId="0" applyNumberFormat="1" applyBorder="1"/>
  </cellXfs>
  <cellStyles count="1">
    <cellStyle name="Normal" xfId="0" builtinId="0"/>
  </cellStyles>
  <dxfs count="21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23934E-ED4F-4904-9BC8-59DA9B7BE32A}" name="Table3" displayName="Table3" ref="A1:I201" totalsRowShown="0" headerRowDxfId="20" headerRowBorderDxfId="19" tableBorderDxfId="18" totalsRowBorderDxfId="17">
  <autoFilter ref="A1:I201" xr:uid="{3723934E-ED4F-4904-9BC8-59DA9B7BE32A}"/>
  <tableColumns count="9">
    <tableColumn id="1" xr3:uid="{24F0F1CC-096F-4235-A886-B43AB3EEF274}" name="EmpID" dataDxfId="16"/>
    <tableColumn id="2" xr3:uid="{73BC1E4E-C9E1-4F1F-9537-2ECEB7D55163}" name="Name" dataDxfId="15"/>
    <tableColumn id="3" xr3:uid="{CFA79DD6-51F0-452C-A9A0-9530B8AB8703}" name="Department" dataDxfId="14"/>
    <tableColumn id="4" xr3:uid="{15896207-8F77-480A-8C19-E88C5185ACD8}" name="Salary" dataDxfId="13"/>
    <tableColumn id="5" xr3:uid="{E88DA1EA-24AF-42DE-A60F-1185B2E1AB2C}" name="JoinDate" dataDxfId="12"/>
    <tableColumn id="6" xr3:uid="{B63C79F3-F76C-4EA9-B4CC-CE39C22C56D3}" name="Address" dataDxfId="11">
      <calculatedColumnFormula>INDEX('Sheet5 (2)'!$A$1:$A$201,MATCH(A2,'Sheet5 (2)'!$D$1:$D$201,0))</calculatedColumnFormula>
    </tableColumn>
    <tableColumn id="7" xr3:uid="{D4849687-4005-433C-97F6-6510305EB9C2}" name="Location" dataDxfId="10">
      <calculatedColumnFormula>INDEX('Sheet5 (2)'!$B$1:$B$201,MATCH(A2,'Sheet5 (2)'!$D$1:$D$201,0))</calculatedColumnFormula>
    </tableColumn>
    <tableColumn id="8" xr3:uid="{76A6EDC1-2956-4FE9-A48E-434ADA964C7D}" name="State" dataDxfId="9">
      <calculatedColumnFormula>INDEX('Sheet5 (2)'!$C$1:$C$201,MATCH(Table3[[#This Row],[EmpID]],'Sheet5 (2)'!$D$1:$D$201,0))</calculatedColumnFormula>
    </tableColumn>
    <tableColumn id="9" xr3:uid="{409A554B-688C-47C6-A2A2-0AF2DA08ABD7}" name="Pin Code" dataDxfId="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C7FDF-CDD2-4633-A8B9-D727B6D8444E}" name="Table1" displayName="Table1" ref="H1:K14" totalsRowShown="0" headerRowDxfId="7" headerRowBorderDxfId="6" tableBorderDxfId="5" totalsRowBorderDxfId="4">
  <autoFilter ref="H1:K14" xr:uid="{74DC7FDF-CDD2-4633-A8B9-D727B6D8444E}"/>
  <tableColumns count="4">
    <tableColumn id="1" xr3:uid="{11BDC490-164F-436A-B2C1-8FF16E8578C5}" name="EmpID" dataDxfId="3"/>
    <tableColumn id="2" xr3:uid="{CECDEDD9-D837-459F-BD18-AC3E91661623}" name="Name" dataDxfId="2">
      <calculatedColumnFormula>VLOOKUP(Table1[[#This Row],[EmpID]],$A$1:$E$201,2,0)</calculatedColumnFormula>
    </tableColumn>
    <tableColumn id="3" xr3:uid="{837DFD12-6295-4850-80C2-0073F630BD29}" name="Department" dataDxfId="1">
      <calculatedColumnFormula>VLOOKUP(Table1[[#This Row],[EmpID]],$A$1:$E$201,3,0)</calculatedColumnFormula>
    </tableColumn>
    <tableColumn id="4" xr3:uid="{3F3B983D-0221-4AE4-8DF4-3C20155E1DE3}" name="Salary" dataDxfId="0">
      <calculatedColumnFormula>VLOOKUP(Table1[[#This Row],[EmpID]],$A$1:$E$201,4,0)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57B4-B68D-45D7-A544-D0B00AAA0998}">
  <dimension ref="A1:I201"/>
  <sheetViews>
    <sheetView topLeftCell="A49" zoomScale="140" zoomScaleNormal="140" workbookViewId="0">
      <selection activeCell="B5" sqref="B5"/>
    </sheetView>
  </sheetViews>
  <sheetFormatPr defaultRowHeight="14.4" x14ac:dyDescent="0.3"/>
  <cols>
    <col min="2" max="2" width="17.6640625" bestFit="1" customWidth="1"/>
    <col min="3" max="3" width="12.33203125" customWidth="1"/>
    <col min="5" max="5" width="10.33203125" bestFit="1" customWidth="1"/>
    <col min="6" max="6" width="18.33203125" bestFit="1" customWidth="1"/>
    <col min="7" max="7" width="15.44140625" bestFit="1" customWidth="1"/>
    <col min="8" max="8" width="26.21875" bestFit="1" customWidth="1"/>
    <col min="9" max="9" width="9.6640625" customWidth="1"/>
  </cols>
  <sheetData>
    <row r="1" spans="1:9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415</v>
      </c>
      <c r="G1" s="9" t="s">
        <v>673</v>
      </c>
      <c r="H1" s="9" t="s">
        <v>672</v>
      </c>
      <c r="I1" s="10" t="s">
        <v>671</v>
      </c>
    </row>
    <row r="2" spans="1:9" x14ac:dyDescent="0.3">
      <c r="A2" s="6" t="s">
        <v>5</v>
      </c>
      <c r="B2" s="1" t="s">
        <v>215</v>
      </c>
      <c r="C2" s="1" t="s">
        <v>6</v>
      </c>
      <c r="D2" s="1">
        <v>52000</v>
      </c>
      <c r="E2" s="2">
        <v>43536</v>
      </c>
      <c r="F2" s="1" t="str">
        <f>INDEX('Sheet5 (2)'!$A$1:$A$201,MATCH(A2,'Sheet5 (2)'!$D$1:$D$201,0))</f>
        <v>12 MG Road</v>
      </c>
      <c r="G2" s="1" t="str">
        <f>INDEX('Sheet5 (2)'!$B$1:$B$201,MATCH(A2,'Sheet5 (2)'!$D$1:$D$201,0))</f>
        <v xml:space="preserve"> Connaught Place</v>
      </c>
      <c r="H2" s="1" t="str">
        <f>INDEX('Sheet5 (2)'!$C$1:$C$201,MATCH(Table3[[#This Row],[EmpID]],'Sheet5 (2)'!$D$1:$D$201,0))</f>
        <v xml:space="preserve"> New Delhi</v>
      </c>
      <c r="I2" s="7"/>
    </row>
    <row r="3" spans="1:9" x14ac:dyDescent="0.3">
      <c r="A3" s="6" t="s">
        <v>7</v>
      </c>
      <c r="B3" s="1" t="s">
        <v>216</v>
      </c>
      <c r="C3" s="1" t="s">
        <v>8</v>
      </c>
      <c r="D3" s="1">
        <v>48000</v>
      </c>
      <c r="E3" s="2">
        <v>44013</v>
      </c>
      <c r="F3" s="1" t="str">
        <f>INDEX('Sheet5 (2)'!$A$1:$A$201,MATCH(A3,'Sheet5 (2)'!$D$1:$D$201,0))</f>
        <v>45 Park Street</v>
      </c>
      <c r="G3" s="1" t="str">
        <f>INDEX('Sheet5 (2)'!$B$1:$B$201,MATCH(A3,'Sheet5 (2)'!$D$1:$D$201,0))</f>
        <v xml:space="preserve"> Kolkata</v>
      </c>
      <c r="H3" s="1" t="str">
        <f>INDEX('Sheet5 (2)'!$C$1:$C$201,MATCH(Table3[[#This Row],[EmpID]],'Sheet5 (2)'!$D$1:$D$201,0))</f>
        <v xml:space="preserve"> West Bengal</v>
      </c>
      <c r="I3" s="7"/>
    </row>
    <row r="4" spans="1:9" x14ac:dyDescent="0.3">
      <c r="A4" s="6" t="s">
        <v>9</v>
      </c>
      <c r="B4" s="1" t="s">
        <v>217</v>
      </c>
      <c r="C4" s="1" t="s">
        <v>10</v>
      </c>
      <c r="D4" s="1">
        <v>75000</v>
      </c>
      <c r="E4" s="2">
        <v>43424</v>
      </c>
      <c r="F4" s="1" t="str">
        <f>INDEX('Sheet5 (2)'!$A$1:$A$201,MATCH(A4,'Sheet5 (2)'!$D$1:$D$201,0))</f>
        <v>7 Brigade Road</v>
      </c>
      <c r="G4" s="1" t="str">
        <f>INDEX('Sheet5 (2)'!$B$1:$B$201,MATCH(A4,'Sheet5 (2)'!$D$1:$D$201,0))</f>
        <v xml:space="preserve"> Bangalore</v>
      </c>
      <c r="H4" s="1" t="str">
        <f>INDEX('Sheet5 (2)'!$C$1:$C$201,MATCH(Table3[[#This Row],[EmpID]],'Sheet5 (2)'!$D$1:$D$201,0))</f>
        <v xml:space="preserve"> Karnataka</v>
      </c>
      <c r="I4" s="7"/>
    </row>
    <row r="5" spans="1:9" x14ac:dyDescent="0.3">
      <c r="A5" s="6" t="s">
        <v>11</v>
      </c>
      <c r="B5" s="1" t="s">
        <v>218</v>
      </c>
      <c r="C5" s="1" t="s">
        <v>12</v>
      </c>
      <c r="D5" s="1">
        <v>61000</v>
      </c>
      <c r="E5" s="2">
        <v>44211</v>
      </c>
      <c r="F5" s="1" t="str">
        <f>INDEX('Sheet5 (2)'!$A$1:$A$201,MATCH(A5,'Sheet5 (2)'!$D$1:$D$201,0))</f>
        <v>88 Anna Salai</v>
      </c>
      <c r="G5" s="1" t="str">
        <f>INDEX('Sheet5 (2)'!$B$1:$B$201,MATCH(A5,'Sheet5 (2)'!$D$1:$D$201,0))</f>
        <v xml:space="preserve"> Chennai</v>
      </c>
      <c r="H5" s="1" t="str">
        <f>INDEX('Sheet5 (2)'!$C$1:$C$201,MATCH(Table3[[#This Row],[EmpID]],'Sheet5 (2)'!$D$1:$D$201,0))</f>
        <v xml:space="preserve"> Tamil Nadu</v>
      </c>
      <c r="I5" s="7"/>
    </row>
    <row r="6" spans="1:9" x14ac:dyDescent="0.3">
      <c r="A6" s="6" t="s">
        <v>13</v>
      </c>
      <c r="B6" s="1" t="s">
        <v>219</v>
      </c>
      <c r="C6" s="1" t="s">
        <v>14</v>
      </c>
      <c r="D6" s="1">
        <v>69000</v>
      </c>
      <c r="E6" s="2">
        <v>42916</v>
      </c>
      <c r="F6" s="1" t="str">
        <f>INDEX('Sheet5 (2)'!$A$1:$A$201,MATCH(A6,'Sheet5 (2)'!$D$1:$D$201,0))</f>
        <v>101 Marine Drive</v>
      </c>
      <c r="G6" s="1" t="str">
        <f>INDEX('Sheet5 (2)'!$B$1:$B$201,MATCH(A6,'Sheet5 (2)'!$D$1:$D$201,0))</f>
        <v xml:space="preserve"> Mumbai</v>
      </c>
      <c r="H6" s="1" t="str">
        <f>INDEX('Sheet5 (2)'!$C$1:$C$201,MATCH(Table3[[#This Row],[EmpID]],'Sheet5 (2)'!$D$1:$D$201,0))</f>
        <v xml:space="preserve"> Maharashtra</v>
      </c>
      <c r="I6" s="7"/>
    </row>
    <row r="7" spans="1:9" x14ac:dyDescent="0.3">
      <c r="A7" s="6" t="s">
        <v>15</v>
      </c>
      <c r="B7" s="1" t="s">
        <v>220</v>
      </c>
      <c r="C7" s="1" t="s">
        <v>16</v>
      </c>
      <c r="D7" s="1">
        <v>72000</v>
      </c>
      <c r="E7" s="2">
        <v>44809</v>
      </c>
      <c r="F7" s="1" t="str">
        <f>INDEX('Sheet5 (2)'!$A$1:$A$201,MATCH(A7,'Sheet5 (2)'!$D$1:$D$201,0))</f>
        <v>22 MG Road</v>
      </c>
      <c r="G7" s="1" t="str">
        <f>INDEX('Sheet5 (2)'!$B$1:$B$201,MATCH(A7,'Sheet5 (2)'!$D$1:$D$201,0))</f>
        <v xml:space="preserve"> Pune</v>
      </c>
      <c r="H7" s="1" t="str">
        <f>INDEX('Sheet5 (2)'!$C$1:$C$201,MATCH(Table3[[#This Row],[EmpID]],'Sheet5 (2)'!$D$1:$D$201,0))</f>
        <v xml:space="preserve"> Maharashtra</v>
      </c>
      <c r="I7" s="7"/>
    </row>
    <row r="8" spans="1:9" x14ac:dyDescent="0.3">
      <c r="A8" s="6" t="s">
        <v>17</v>
      </c>
      <c r="B8" s="1" t="s">
        <v>221</v>
      </c>
      <c r="C8" s="1" t="s">
        <v>18</v>
      </c>
      <c r="D8" s="1">
        <v>50000</v>
      </c>
      <c r="E8" s="2">
        <v>43809</v>
      </c>
      <c r="F8" s="1" t="str">
        <f>INDEX('Sheet5 (2)'!$A$1:$A$201,MATCH(A8,'Sheet5 (2)'!$D$1:$D$201,0))</f>
        <v>5 Banjara Hills</v>
      </c>
      <c r="G8" s="1" t="str">
        <f>INDEX('Sheet5 (2)'!$B$1:$B$201,MATCH(A8,'Sheet5 (2)'!$D$1:$D$201,0))</f>
        <v xml:space="preserve"> Hyderabad</v>
      </c>
      <c r="H8" s="1" t="str">
        <f>INDEX('Sheet5 (2)'!$C$1:$C$201,MATCH(Table3[[#This Row],[EmpID]],'Sheet5 (2)'!$D$1:$D$201,0))</f>
        <v xml:space="preserve"> Telangana</v>
      </c>
      <c r="I8" s="7"/>
    </row>
    <row r="9" spans="1:9" x14ac:dyDescent="0.3">
      <c r="A9" s="6" t="s">
        <v>19</v>
      </c>
      <c r="B9" s="1" t="s">
        <v>222</v>
      </c>
      <c r="C9" s="1" t="s">
        <v>20</v>
      </c>
      <c r="D9" s="1">
        <v>66000</v>
      </c>
      <c r="E9" s="2">
        <v>43886</v>
      </c>
      <c r="F9" s="1" t="str">
        <f>INDEX('Sheet5 (2)'!$A$1:$A$201,MATCH(A9,'Sheet5 (2)'!$D$1:$D$201,0))</f>
        <v>3 SG Highway</v>
      </c>
      <c r="G9" s="1" t="str">
        <f>INDEX('Sheet5 (2)'!$B$1:$B$201,MATCH(A9,'Sheet5 (2)'!$D$1:$D$201,0))</f>
        <v xml:space="preserve"> Ahmedabad</v>
      </c>
      <c r="H9" s="1" t="str">
        <f>INDEX('Sheet5 (2)'!$C$1:$C$201,MATCH(Table3[[#This Row],[EmpID]],'Sheet5 (2)'!$D$1:$D$201,0))</f>
        <v xml:space="preserve"> Gujarat</v>
      </c>
      <c r="I9" s="7"/>
    </row>
    <row r="10" spans="1:9" x14ac:dyDescent="0.3">
      <c r="A10" s="6" t="s">
        <v>21</v>
      </c>
      <c r="B10" s="1" t="s">
        <v>223</v>
      </c>
      <c r="C10" s="1" t="s">
        <v>22</v>
      </c>
      <c r="D10" s="1">
        <v>58000</v>
      </c>
      <c r="E10" s="2">
        <v>42600</v>
      </c>
      <c r="F10" s="1" t="str">
        <f>INDEX('Sheet5 (2)'!$A$1:$A$201,MATCH(A10,'Sheet5 (2)'!$D$1:$D$201,0))</f>
        <v>14 Hazratganj</v>
      </c>
      <c r="G10" s="1" t="str">
        <f>INDEX('Sheet5 (2)'!$B$1:$B$201,MATCH(A10,'Sheet5 (2)'!$D$1:$D$201,0))</f>
        <v xml:space="preserve"> Lucknow</v>
      </c>
      <c r="H10" s="1" t="str">
        <f>INDEX('Sheet5 (2)'!$C$1:$C$201,MATCH(Table3[[#This Row],[EmpID]],'Sheet5 (2)'!$D$1:$D$201,0))</f>
        <v xml:space="preserve"> Uttar Pradesh</v>
      </c>
      <c r="I10" s="7"/>
    </row>
    <row r="11" spans="1:9" x14ac:dyDescent="0.3">
      <c r="A11" s="6" t="s">
        <v>23</v>
      </c>
      <c r="B11" s="1" t="s">
        <v>224</v>
      </c>
      <c r="C11" s="1" t="s">
        <v>24</v>
      </c>
      <c r="D11" s="1">
        <v>45000</v>
      </c>
      <c r="E11" s="2">
        <v>42146</v>
      </c>
      <c r="F11" s="1" t="str">
        <f>INDEX('Sheet5 (2)'!$A$1:$A$201,MATCH(A11,'Sheet5 (2)'!$D$1:$D$201,0))</f>
        <v>9 MI Road</v>
      </c>
      <c r="G11" s="1" t="str">
        <f>INDEX('Sheet5 (2)'!$B$1:$B$201,MATCH(A11,'Sheet5 (2)'!$D$1:$D$201,0))</f>
        <v xml:space="preserve"> Jaipur</v>
      </c>
      <c r="H11" s="1" t="str">
        <f>INDEX('Sheet5 (2)'!$C$1:$C$201,MATCH(Table3[[#This Row],[EmpID]],'Sheet5 (2)'!$D$1:$D$201,0))</f>
        <v xml:space="preserve"> Rajasthan</v>
      </c>
      <c r="I11" s="7"/>
    </row>
    <row r="12" spans="1:9" x14ac:dyDescent="0.3">
      <c r="A12" s="6" t="s">
        <v>25</v>
      </c>
      <c r="B12" s="1" t="s">
        <v>225</v>
      </c>
      <c r="C12" s="1" t="s">
        <v>6</v>
      </c>
      <c r="D12" s="1">
        <v>80000</v>
      </c>
      <c r="E12" s="2">
        <v>43193</v>
      </c>
      <c r="F12" s="1" t="str">
        <f>INDEX('Sheet5 (2)'!$A$1:$A$201,MATCH(A12,'Sheet5 (2)'!$D$1:$D$201,0))</f>
        <v>2 Sector 17</v>
      </c>
      <c r="G12" s="1" t="str">
        <f>INDEX('Sheet5 (2)'!$B$1:$B$201,MATCH(A12,'Sheet5 (2)'!$D$1:$D$201,0))</f>
        <v xml:space="preserve"> Chandigarh</v>
      </c>
      <c r="H12" s="1" t="str">
        <f>INDEX('Sheet5 (2)'!$C$1:$C$201,MATCH(Table3[[#This Row],[EmpID]],'Sheet5 (2)'!$D$1:$D$201,0))</f>
        <v xml:space="preserve"> Chandigarh</v>
      </c>
      <c r="I12" s="7"/>
    </row>
    <row r="13" spans="1:9" x14ac:dyDescent="0.3">
      <c r="A13" s="6" t="s">
        <v>26</v>
      </c>
      <c r="B13" s="1" t="s">
        <v>226</v>
      </c>
      <c r="C13" s="1" t="s">
        <v>8</v>
      </c>
      <c r="D13" s="1">
        <v>54000</v>
      </c>
      <c r="E13" s="2">
        <v>42992</v>
      </c>
      <c r="F13" s="1" t="str">
        <f>INDEX('Sheet5 (2)'!$A$1:$A$201,MATCH(A13,'Sheet5 (2)'!$D$1:$D$201,0))</f>
        <v>18 Udyog Vihar</v>
      </c>
      <c r="G13" s="1" t="str">
        <f>INDEX('Sheet5 (2)'!$B$1:$B$201,MATCH(A13,'Sheet5 (2)'!$D$1:$D$201,0))</f>
        <v xml:space="preserve"> Gurgaon</v>
      </c>
      <c r="H13" s="1" t="str">
        <f>INDEX('Sheet5 (2)'!$C$1:$C$201,MATCH(Table3[[#This Row],[EmpID]],'Sheet5 (2)'!$D$1:$D$201,0))</f>
        <v xml:space="preserve"> Haryana</v>
      </c>
      <c r="I13" s="7"/>
    </row>
    <row r="14" spans="1:9" x14ac:dyDescent="0.3">
      <c r="A14" s="6" t="s">
        <v>27</v>
      </c>
      <c r="B14" s="1" t="s">
        <v>227</v>
      </c>
      <c r="C14" s="1" t="s">
        <v>10</v>
      </c>
      <c r="D14" s="1">
        <v>47000</v>
      </c>
      <c r="E14" s="2">
        <v>44502</v>
      </c>
      <c r="F14" s="1" t="str">
        <f>INDEX('Sheet5 (2)'!$A$1:$A$201,MATCH(A14,'Sheet5 (2)'!$D$1:$D$201,0))</f>
        <v>7 Sector 18</v>
      </c>
      <c r="G14" s="1" t="str">
        <f>INDEX('Sheet5 (2)'!$B$1:$B$201,MATCH(A14,'Sheet5 (2)'!$D$1:$D$201,0))</f>
        <v xml:space="preserve"> Noida</v>
      </c>
      <c r="H14" s="1" t="str">
        <f>INDEX('Sheet5 (2)'!$C$1:$C$201,MATCH(Table3[[#This Row],[EmpID]],'Sheet5 (2)'!$D$1:$D$201,0))</f>
        <v xml:space="preserve"> Uttar Pradesh</v>
      </c>
      <c r="I14" s="7"/>
    </row>
    <row r="15" spans="1:9" x14ac:dyDescent="0.3">
      <c r="A15" s="6" t="s">
        <v>28</v>
      </c>
      <c r="B15" s="1" t="s">
        <v>228</v>
      </c>
      <c r="C15" s="1" t="s">
        <v>12</v>
      </c>
      <c r="D15" s="1">
        <v>90000</v>
      </c>
      <c r="E15" s="2">
        <v>42396</v>
      </c>
      <c r="F15" s="1" t="str">
        <f>INDEX('Sheet5 (2)'!$A$1:$A$201,MATCH(A15,'Sheet5 (2)'!$D$1:$D$201,0))</f>
        <v>33 Raj Nagar</v>
      </c>
      <c r="G15" s="1" t="str">
        <f>INDEX('Sheet5 (2)'!$B$1:$B$201,MATCH(A15,'Sheet5 (2)'!$D$1:$D$201,0))</f>
        <v xml:space="preserve"> Ghaziabad</v>
      </c>
      <c r="H15" s="1" t="str">
        <f>INDEX('Sheet5 (2)'!$C$1:$C$201,MATCH(Table3[[#This Row],[EmpID]],'Sheet5 (2)'!$D$1:$D$201,0))</f>
        <v xml:space="preserve"> Uttar Pradesh</v>
      </c>
      <c r="I15" s="7"/>
    </row>
    <row r="16" spans="1:9" x14ac:dyDescent="0.3">
      <c r="A16" s="6" t="s">
        <v>29</v>
      </c>
      <c r="B16" s="1" t="s">
        <v>229</v>
      </c>
      <c r="C16" s="1" t="s">
        <v>14</v>
      </c>
      <c r="D16" s="1">
        <v>62000</v>
      </c>
      <c r="E16" s="2">
        <v>43635</v>
      </c>
      <c r="F16" s="1" t="str">
        <f>INDEX('Sheet5 (2)'!$A$1:$A$201,MATCH(A16,'Sheet5 (2)'!$D$1:$D$201,0))</f>
        <v>56 Sector 15</v>
      </c>
      <c r="G16" s="1" t="str">
        <f>INDEX('Sheet5 (2)'!$B$1:$B$201,MATCH(A16,'Sheet5 (2)'!$D$1:$D$201,0))</f>
        <v xml:space="preserve"> Faridabad</v>
      </c>
      <c r="H16" s="1" t="str">
        <f>INDEX('Sheet5 (2)'!$C$1:$C$201,MATCH(Table3[[#This Row],[EmpID]],'Sheet5 (2)'!$D$1:$D$201,0))</f>
        <v xml:space="preserve"> Haryana</v>
      </c>
      <c r="I16" s="7"/>
    </row>
    <row r="17" spans="1:9" x14ac:dyDescent="0.3">
      <c r="A17" s="6" t="s">
        <v>30</v>
      </c>
      <c r="B17" s="1" t="s">
        <v>230</v>
      </c>
      <c r="C17" s="1" t="s">
        <v>16</v>
      </c>
      <c r="D17" s="1">
        <v>73000</v>
      </c>
      <c r="E17" s="2">
        <v>44112</v>
      </c>
      <c r="F17" s="1" t="str">
        <f>INDEX('Sheet5 (2)'!$A$1:$A$201,MATCH(A17,'Sheet5 (2)'!$D$1:$D$201,0))</f>
        <v>11 Civil Lines</v>
      </c>
      <c r="G17" s="1" t="str">
        <f>INDEX('Sheet5 (2)'!$B$1:$B$201,MATCH(A17,'Sheet5 (2)'!$D$1:$D$201,0))</f>
        <v xml:space="preserve"> Kanpur</v>
      </c>
      <c r="H17" s="1" t="str">
        <f>INDEX('Sheet5 (2)'!$C$1:$C$201,MATCH(Table3[[#This Row],[EmpID]],'Sheet5 (2)'!$D$1:$D$201,0))</f>
        <v xml:space="preserve"> Uttar Pradesh</v>
      </c>
      <c r="I17" s="7"/>
    </row>
    <row r="18" spans="1:9" x14ac:dyDescent="0.3">
      <c r="A18" s="6" t="s">
        <v>31</v>
      </c>
      <c r="B18" s="1" t="s">
        <v>231</v>
      </c>
      <c r="C18" s="1" t="s">
        <v>18</v>
      </c>
      <c r="D18" s="1">
        <v>56000</v>
      </c>
      <c r="E18" s="2">
        <v>42343</v>
      </c>
      <c r="F18" s="1" t="str">
        <f>INDEX('Sheet5 (2)'!$A$1:$A$201,MATCH(A18,'Sheet5 (2)'!$D$1:$D$201,0))</f>
        <v>4 Ring Road</v>
      </c>
      <c r="G18" s="1" t="str">
        <f>INDEX('Sheet5 (2)'!$B$1:$B$201,MATCH(A18,'Sheet5 (2)'!$D$1:$D$201,0))</f>
        <v xml:space="preserve"> Surat</v>
      </c>
      <c r="H18" s="1" t="str">
        <f>INDEX('Sheet5 (2)'!$C$1:$C$201,MATCH(Table3[[#This Row],[EmpID]],'Sheet5 (2)'!$D$1:$D$201,0))</f>
        <v xml:space="preserve"> Gujarat</v>
      </c>
      <c r="I18" s="7"/>
    </row>
    <row r="19" spans="1:9" x14ac:dyDescent="0.3">
      <c r="A19" s="6" t="s">
        <v>32</v>
      </c>
      <c r="B19" s="1" t="s">
        <v>232</v>
      </c>
      <c r="C19" s="1" t="s">
        <v>20</v>
      </c>
      <c r="D19" s="1">
        <v>67000</v>
      </c>
      <c r="E19" s="2">
        <v>43152</v>
      </c>
      <c r="F19" s="1" t="str">
        <f>INDEX('Sheet5 (2)'!$A$1:$A$201,MATCH(A19,'Sheet5 (2)'!$D$1:$D$201,0))</f>
        <v>27 Alkapuri</v>
      </c>
      <c r="G19" s="1" t="str">
        <f>INDEX('Sheet5 (2)'!$B$1:$B$201,MATCH(A19,'Sheet5 (2)'!$D$1:$D$201,0))</f>
        <v xml:space="preserve"> Vadodara</v>
      </c>
      <c r="H19" s="1" t="str">
        <f>INDEX('Sheet5 (2)'!$C$1:$C$201,MATCH(Table3[[#This Row],[EmpID]],'Sheet5 (2)'!$D$1:$D$201,0))</f>
        <v xml:space="preserve"> Gujarat</v>
      </c>
      <c r="I19" s="7"/>
    </row>
    <row r="20" spans="1:9" x14ac:dyDescent="0.3">
      <c r="A20" s="6" t="s">
        <v>33</v>
      </c>
      <c r="B20" s="1" t="s">
        <v>233</v>
      </c>
      <c r="C20" s="1" t="s">
        <v>22</v>
      </c>
      <c r="D20" s="1">
        <v>71000</v>
      </c>
      <c r="E20" s="2">
        <v>44650</v>
      </c>
      <c r="F20" s="1" t="str">
        <f>INDEX('Sheet5 (2)'!$A$1:$A$201,MATCH(A20,'Sheet5 (2)'!$D$1:$D$201,0))</f>
        <v>19 Arera Hills</v>
      </c>
      <c r="G20" s="1" t="str">
        <f>INDEX('Sheet5 (2)'!$B$1:$B$201,MATCH(A20,'Sheet5 (2)'!$D$1:$D$201,0))</f>
        <v xml:space="preserve"> Bhopal</v>
      </c>
      <c r="H20" s="1" t="str">
        <f>INDEX('Sheet5 (2)'!$C$1:$C$201,MATCH(Table3[[#This Row],[EmpID]],'Sheet5 (2)'!$D$1:$D$201,0))</f>
        <v xml:space="preserve"> Madhya Pradesh</v>
      </c>
      <c r="I20" s="7"/>
    </row>
    <row r="21" spans="1:9" x14ac:dyDescent="0.3">
      <c r="A21" s="6" t="s">
        <v>34</v>
      </c>
      <c r="B21" s="1" t="s">
        <v>234</v>
      </c>
      <c r="C21" s="1" t="s">
        <v>24</v>
      </c>
      <c r="D21" s="1">
        <v>64000</v>
      </c>
      <c r="E21" s="2">
        <v>42927</v>
      </c>
      <c r="F21" s="1" t="str">
        <f>INDEX('Sheet5 (2)'!$A$1:$A$201,MATCH(A21,'Sheet5 (2)'!$D$1:$D$201,0))</f>
        <v>8 MG Road</v>
      </c>
      <c r="G21" s="1" t="str">
        <f>INDEX('Sheet5 (2)'!$B$1:$B$201,MATCH(A21,'Sheet5 (2)'!$D$1:$D$201,0))</f>
        <v xml:space="preserve"> Indore</v>
      </c>
      <c r="H21" s="1" t="str">
        <f>INDEX('Sheet5 (2)'!$C$1:$C$201,MATCH(Table3[[#This Row],[EmpID]],'Sheet5 (2)'!$D$1:$D$201,0))</f>
        <v xml:space="preserve"> Madhya Pradesh</v>
      </c>
      <c r="I21" s="7"/>
    </row>
    <row r="22" spans="1:9" x14ac:dyDescent="0.3">
      <c r="A22" s="6" t="s">
        <v>35</v>
      </c>
      <c r="B22" s="1" t="s">
        <v>235</v>
      </c>
      <c r="C22" s="1" t="s">
        <v>6</v>
      </c>
      <c r="D22" s="1">
        <v>52000</v>
      </c>
      <c r="E22" s="2">
        <v>43474</v>
      </c>
      <c r="F22" s="1" t="str">
        <f>INDEX('Sheet5 (2)'!$A$1:$A$201,MATCH(A22,'Sheet5 (2)'!$D$1:$D$201,0))</f>
        <v>21 Bailey Road</v>
      </c>
      <c r="G22" s="1" t="str">
        <f>INDEX('Sheet5 (2)'!$B$1:$B$201,MATCH(A22,'Sheet5 (2)'!$D$1:$D$201,0))</f>
        <v xml:space="preserve"> Patna</v>
      </c>
      <c r="H22" s="1" t="str">
        <f>INDEX('Sheet5 (2)'!$C$1:$C$201,MATCH(Table3[[#This Row],[EmpID]],'Sheet5 (2)'!$D$1:$D$201,0))</f>
        <v xml:space="preserve"> Bihar</v>
      </c>
      <c r="I22" s="7"/>
    </row>
    <row r="23" spans="1:9" x14ac:dyDescent="0.3">
      <c r="A23" s="6" t="s">
        <v>36</v>
      </c>
      <c r="B23" s="1" t="s">
        <v>236</v>
      </c>
      <c r="C23" s="1" t="s">
        <v>8</v>
      </c>
      <c r="D23" s="1">
        <v>48000</v>
      </c>
      <c r="E23" s="2">
        <v>43967</v>
      </c>
      <c r="F23" s="1" t="str">
        <f>INDEX('Sheet5 (2)'!$A$1:$A$201,MATCH(A23,'Sheet5 (2)'!$D$1:$D$201,0))</f>
        <v>12 Doranda Road</v>
      </c>
      <c r="G23" s="1" t="str">
        <f>INDEX('Sheet5 (2)'!$B$1:$B$201,MATCH(A23,'Sheet5 (2)'!$D$1:$D$201,0))</f>
        <v xml:space="preserve"> Ranchi</v>
      </c>
      <c r="H23" s="1" t="str">
        <f>INDEX('Sheet5 (2)'!$C$1:$C$201,MATCH(Table3[[#This Row],[EmpID]],'Sheet5 (2)'!$D$1:$D$201,0))</f>
        <v xml:space="preserve"> Jharkhand</v>
      </c>
      <c r="I23" s="7"/>
    </row>
    <row r="24" spans="1:9" x14ac:dyDescent="0.3">
      <c r="A24" s="6" t="s">
        <v>37</v>
      </c>
      <c r="B24" s="1" t="s">
        <v>237</v>
      </c>
      <c r="C24" s="1" t="s">
        <v>10</v>
      </c>
      <c r="D24" s="1">
        <v>75000</v>
      </c>
      <c r="E24" s="2">
        <v>43377</v>
      </c>
      <c r="F24" s="1" t="str">
        <f>INDEX('Sheet5 (2)'!$A$1:$A$201,MATCH(A24,'Sheet5 (2)'!$D$1:$D$201,0))</f>
        <v>6 Janpath</v>
      </c>
      <c r="G24" s="1" t="str">
        <f>INDEX('Sheet5 (2)'!$B$1:$B$201,MATCH(A24,'Sheet5 (2)'!$D$1:$D$201,0))</f>
        <v xml:space="preserve"> Bhubaneswar</v>
      </c>
      <c r="H24" s="1" t="str">
        <f>INDEX('Sheet5 (2)'!$C$1:$C$201,MATCH(Table3[[#This Row],[EmpID]],'Sheet5 (2)'!$D$1:$D$201,0))</f>
        <v xml:space="preserve"> Odisha</v>
      </c>
      <c r="I24" s="7"/>
    </row>
    <row r="25" spans="1:9" x14ac:dyDescent="0.3">
      <c r="A25" s="6" t="s">
        <v>38</v>
      </c>
      <c r="B25" s="1" t="s">
        <v>238</v>
      </c>
      <c r="C25" s="1" t="s">
        <v>12</v>
      </c>
      <c r="D25" s="1">
        <v>61000</v>
      </c>
      <c r="E25" s="2">
        <v>44247</v>
      </c>
      <c r="F25" s="1" t="str">
        <f>INDEX('Sheet5 (2)'!$A$1:$A$201,MATCH(A25,'Sheet5 (2)'!$D$1:$D$201,0))</f>
        <v>44 Avinashi Road</v>
      </c>
      <c r="G25" s="1" t="str">
        <f>INDEX('Sheet5 (2)'!$B$1:$B$201,MATCH(A25,'Sheet5 (2)'!$D$1:$D$201,0))</f>
        <v xml:space="preserve"> Coimbatore</v>
      </c>
      <c r="H25" s="1" t="str">
        <f>INDEX('Sheet5 (2)'!$C$1:$C$201,MATCH(Table3[[#This Row],[EmpID]],'Sheet5 (2)'!$D$1:$D$201,0))</f>
        <v xml:space="preserve"> Tamil Nadu</v>
      </c>
      <c r="I25" s="7"/>
    </row>
    <row r="26" spans="1:9" x14ac:dyDescent="0.3">
      <c r="A26" s="6" t="s">
        <v>39</v>
      </c>
      <c r="B26" s="1" t="s">
        <v>239</v>
      </c>
      <c r="C26" s="1" t="s">
        <v>14</v>
      </c>
      <c r="D26" s="1">
        <v>69000</v>
      </c>
      <c r="E26" s="2">
        <v>42976</v>
      </c>
      <c r="F26" s="1" t="str">
        <f>INDEX('Sheet5 (2)'!$A$1:$A$201,MATCH(A26,'Sheet5 (2)'!$D$1:$D$201,0))</f>
        <v>3 MG Road</v>
      </c>
      <c r="G26" s="1" t="str">
        <f>INDEX('Sheet5 (2)'!$B$1:$B$201,MATCH(A26,'Sheet5 (2)'!$D$1:$D$201,0))</f>
        <v xml:space="preserve"> Kochi</v>
      </c>
      <c r="H26" s="1" t="str">
        <f>INDEX('Sheet5 (2)'!$C$1:$C$201,MATCH(Table3[[#This Row],[EmpID]],'Sheet5 (2)'!$D$1:$D$201,0))</f>
        <v xml:space="preserve"> Kerala</v>
      </c>
      <c r="I26" s="7"/>
    </row>
    <row r="27" spans="1:9" x14ac:dyDescent="0.3">
      <c r="A27" s="6" t="s">
        <v>40</v>
      </c>
      <c r="B27" s="1" t="s">
        <v>240</v>
      </c>
      <c r="C27" s="1" t="s">
        <v>16</v>
      </c>
      <c r="D27" s="1">
        <v>72000</v>
      </c>
      <c r="E27" s="2">
        <v>44725</v>
      </c>
      <c r="F27" s="1" t="str">
        <f>INDEX('Sheet5 (2)'!$A$1:$A$201,MATCH(A27,'Sheet5 (2)'!$D$1:$D$201,0))</f>
        <v>55 Vazhuthacaud</v>
      </c>
      <c r="G27" s="1" t="str">
        <f>INDEX('Sheet5 (2)'!$B$1:$B$201,MATCH(A27,'Sheet5 (2)'!$D$1:$D$201,0))</f>
        <v xml:space="preserve"> Thiruvananthapuram</v>
      </c>
      <c r="H27" s="1" t="str">
        <f>INDEX('Sheet5 (2)'!$C$1:$C$201,MATCH(Table3[[#This Row],[EmpID]],'Sheet5 (2)'!$D$1:$D$201,0))</f>
        <v xml:space="preserve"> Kerala</v>
      </c>
      <c r="I27" s="7"/>
    </row>
    <row r="28" spans="1:9" x14ac:dyDescent="0.3">
      <c r="A28" s="6" t="s">
        <v>41</v>
      </c>
      <c r="B28" s="1" t="s">
        <v>241</v>
      </c>
      <c r="C28" s="1" t="s">
        <v>18</v>
      </c>
      <c r="D28" s="1">
        <v>50000</v>
      </c>
      <c r="E28" s="2">
        <v>43776</v>
      </c>
      <c r="F28" s="1" t="str">
        <f>INDEX('Sheet5 (2)'!$A$1:$A$201,MATCH(A28,'Sheet5 (2)'!$D$1:$D$201,0))</f>
        <v>9 Nazarbad</v>
      </c>
      <c r="G28" s="1" t="str">
        <f>INDEX('Sheet5 (2)'!$B$1:$B$201,MATCH(A28,'Sheet5 (2)'!$D$1:$D$201,0))</f>
        <v xml:space="preserve"> Mysore</v>
      </c>
      <c r="H28" s="1" t="str">
        <f>INDEX('Sheet5 (2)'!$C$1:$C$201,MATCH(Table3[[#This Row],[EmpID]],'Sheet5 (2)'!$D$1:$D$201,0))</f>
        <v xml:space="preserve"> Karnataka</v>
      </c>
      <c r="I28" s="7"/>
    </row>
    <row r="29" spans="1:9" x14ac:dyDescent="0.3">
      <c r="A29" s="6" t="s">
        <v>42</v>
      </c>
      <c r="B29" s="1" t="s">
        <v>242</v>
      </c>
      <c r="C29" s="1" t="s">
        <v>20</v>
      </c>
      <c r="D29" s="1">
        <v>66000</v>
      </c>
      <c r="E29" s="2">
        <v>43908</v>
      </c>
      <c r="F29" s="1" t="str">
        <f>INDEX('Sheet5 (2)'!$A$1:$A$201,MATCH(A29,'Sheet5 (2)'!$D$1:$D$201,0))</f>
        <v>2 Sitabuldi</v>
      </c>
      <c r="G29" s="1" t="str">
        <f>INDEX('Sheet5 (2)'!$B$1:$B$201,MATCH(A29,'Sheet5 (2)'!$D$1:$D$201,0))</f>
        <v xml:space="preserve"> Nagpur</v>
      </c>
      <c r="H29" s="1" t="str">
        <f>INDEX('Sheet5 (2)'!$C$1:$C$201,MATCH(Table3[[#This Row],[EmpID]],'Sheet5 (2)'!$D$1:$D$201,0))</f>
        <v xml:space="preserve"> Maharashtra</v>
      </c>
      <c r="I29" s="7"/>
    </row>
    <row r="30" spans="1:9" x14ac:dyDescent="0.3">
      <c r="A30" s="6" t="s">
        <v>43</v>
      </c>
      <c r="B30" s="1" t="s">
        <v>243</v>
      </c>
      <c r="C30" s="1" t="s">
        <v>22</v>
      </c>
      <c r="D30" s="1">
        <v>58000</v>
      </c>
      <c r="E30" s="2">
        <v>42638</v>
      </c>
      <c r="F30" s="1" t="str">
        <f>INDEX('Sheet5 (2)'!$A$1:$A$201,MATCH(A30,'Sheet5 (2)'!$D$1:$D$201,0))</f>
        <v>18 College Road</v>
      </c>
      <c r="G30" s="1" t="str">
        <f>INDEX('Sheet5 (2)'!$B$1:$B$201,MATCH(A30,'Sheet5 (2)'!$D$1:$D$201,0))</f>
        <v xml:space="preserve"> Nashik</v>
      </c>
      <c r="H30" s="1" t="str">
        <f>INDEX('Sheet5 (2)'!$C$1:$C$201,MATCH(Table3[[#This Row],[EmpID]],'Sheet5 (2)'!$D$1:$D$201,0))</f>
        <v xml:space="preserve"> Maharashtra</v>
      </c>
      <c r="I30" s="7"/>
    </row>
    <row r="31" spans="1:9" x14ac:dyDescent="0.3">
      <c r="A31" s="6" t="s">
        <v>44</v>
      </c>
      <c r="B31" s="1" t="s">
        <v>244</v>
      </c>
      <c r="C31" s="1" t="s">
        <v>24</v>
      </c>
      <c r="D31" s="1">
        <v>45000</v>
      </c>
      <c r="E31" s="2">
        <v>42108</v>
      </c>
      <c r="F31" s="1" t="str">
        <f>INDEX('Sheet5 (2)'!$A$1:$A$201,MATCH(A31,'Sheet5 (2)'!$D$1:$D$201,0))</f>
        <v>7 Sardarpura</v>
      </c>
      <c r="G31" s="1" t="str">
        <f>INDEX('Sheet5 (2)'!$B$1:$B$201,MATCH(A31,'Sheet5 (2)'!$D$1:$D$201,0))</f>
        <v xml:space="preserve"> Jodhpur</v>
      </c>
      <c r="H31" s="1" t="str">
        <f>INDEX('Sheet5 (2)'!$C$1:$C$201,MATCH(Table3[[#This Row],[EmpID]],'Sheet5 (2)'!$D$1:$D$201,0))</f>
        <v xml:space="preserve"> Rajasthan</v>
      </c>
      <c r="I31" s="7"/>
    </row>
    <row r="32" spans="1:9" x14ac:dyDescent="0.3">
      <c r="A32" s="6" t="s">
        <v>45</v>
      </c>
      <c r="B32" s="1" t="s">
        <v>245</v>
      </c>
      <c r="C32" s="1" t="s">
        <v>6</v>
      </c>
      <c r="D32" s="1">
        <v>80000</v>
      </c>
      <c r="E32" s="2">
        <v>43272</v>
      </c>
      <c r="F32" s="1" t="str">
        <f>INDEX('Sheet5 (2)'!$A$1:$A$201,MATCH(A32,'Sheet5 (2)'!$D$1:$D$201,0))</f>
        <v>14 Dewali</v>
      </c>
      <c r="G32" s="1" t="str">
        <f>INDEX('Sheet5 (2)'!$B$1:$B$201,MATCH(A32,'Sheet5 (2)'!$D$1:$D$201,0))</f>
        <v xml:space="preserve"> Udaipur</v>
      </c>
      <c r="H32" s="1" t="str">
        <f>INDEX('Sheet5 (2)'!$C$1:$C$201,MATCH(Table3[[#This Row],[EmpID]],'Sheet5 (2)'!$D$1:$D$201,0))</f>
        <v xml:space="preserve"> Rajasthan</v>
      </c>
      <c r="I32" s="7"/>
    </row>
    <row r="33" spans="1:9" x14ac:dyDescent="0.3">
      <c r="A33" s="6" t="s">
        <v>46</v>
      </c>
      <c r="B33" s="1" t="s">
        <v>246</v>
      </c>
      <c r="C33" s="1" t="s">
        <v>8</v>
      </c>
      <c r="D33" s="1">
        <v>54000</v>
      </c>
      <c r="E33" s="2">
        <v>43038</v>
      </c>
      <c r="F33" s="1" t="str">
        <f>INDEX('Sheet5 (2)'!$A$1:$A$201,MATCH(A33,'Sheet5 (2)'!$D$1:$D$201,0))</f>
        <v>28 Sanjay Place</v>
      </c>
      <c r="G33" s="1" t="str">
        <f>INDEX('Sheet5 (2)'!$B$1:$B$201,MATCH(A33,'Sheet5 (2)'!$D$1:$D$201,0))</f>
        <v xml:space="preserve"> Agra</v>
      </c>
      <c r="H33" s="1" t="str">
        <f>INDEX('Sheet5 (2)'!$C$1:$C$201,MATCH(Table3[[#This Row],[EmpID]],'Sheet5 (2)'!$D$1:$D$201,0))</f>
        <v xml:space="preserve"> Uttar Pradesh</v>
      </c>
      <c r="I33" s="7"/>
    </row>
    <row r="34" spans="1:9" x14ac:dyDescent="0.3">
      <c r="A34" s="6" t="s">
        <v>47</v>
      </c>
      <c r="B34" s="1" t="s">
        <v>247</v>
      </c>
      <c r="C34" s="1" t="s">
        <v>10</v>
      </c>
      <c r="D34" s="1">
        <v>47000</v>
      </c>
      <c r="E34" s="2">
        <v>44542</v>
      </c>
      <c r="F34" s="1" t="str">
        <f>INDEX('Sheet5 (2)'!$A$1:$A$201,MATCH(A34,'Sheet5 (2)'!$D$1:$D$201,0))</f>
        <v>10 Lanka Road</v>
      </c>
      <c r="G34" s="1" t="str">
        <f>INDEX('Sheet5 (2)'!$B$1:$B$201,MATCH(A34,'Sheet5 (2)'!$D$1:$D$201,0))</f>
        <v xml:space="preserve"> Varanasi</v>
      </c>
      <c r="H34" s="1" t="str">
        <f>INDEX('Sheet5 (2)'!$C$1:$C$201,MATCH(Table3[[#This Row],[EmpID]],'Sheet5 (2)'!$D$1:$D$201,0))</f>
        <v xml:space="preserve"> Uttar Pradesh</v>
      </c>
      <c r="I34" s="7"/>
    </row>
    <row r="35" spans="1:9" x14ac:dyDescent="0.3">
      <c r="A35" s="6" t="s">
        <v>48</v>
      </c>
      <c r="B35" s="1" t="s">
        <v>248</v>
      </c>
      <c r="C35" s="1" t="s">
        <v>12</v>
      </c>
      <c r="D35" s="1">
        <v>90000</v>
      </c>
      <c r="E35" s="2">
        <v>42408</v>
      </c>
      <c r="F35" s="1" t="str">
        <f>INDEX('Sheet5 (2)'!$A$1:$A$201,MATCH(A35,'Sheet5 (2)'!$D$1:$D$201,0))</f>
        <v>5 Shastri Nagar</v>
      </c>
      <c r="G35" s="1" t="str">
        <f>INDEX('Sheet5 (2)'!$B$1:$B$201,MATCH(A35,'Sheet5 (2)'!$D$1:$D$201,0))</f>
        <v xml:space="preserve"> Meerut</v>
      </c>
      <c r="H35" s="1" t="str">
        <f>INDEX('Sheet5 (2)'!$C$1:$C$201,MATCH(Table3[[#This Row],[EmpID]],'Sheet5 (2)'!$D$1:$D$201,0))</f>
        <v xml:space="preserve"> Uttar Pradesh</v>
      </c>
      <c r="I35" s="7"/>
    </row>
    <row r="36" spans="1:9" x14ac:dyDescent="0.3">
      <c r="A36" s="6" t="s">
        <v>49</v>
      </c>
      <c r="B36" s="1" t="s">
        <v>249</v>
      </c>
      <c r="C36" s="1" t="s">
        <v>14</v>
      </c>
      <c r="D36" s="1">
        <v>62000</v>
      </c>
      <c r="E36" s="2">
        <v>43588</v>
      </c>
      <c r="F36" s="1" t="str">
        <f>INDEX('Sheet5 (2)'!$A$1:$A$201,MATCH(A36,'Sheet5 (2)'!$D$1:$D$201,0))</f>
        <v>3 Ferozepur Road</v>
      </c>
      <c r="G36" s="1" t="str">
        <f>INDEX('Sheet5 (2)'!$B$1:$B$201,MATCH(A36,'Sheet5 (2)'!$D$1:$D$201,0))</f>
        <v xml:space="preserve"> Ludhiana</v>
      </c>
      <c r="H36" s="1" t="str">
        <f>INDEX('Sheet5 (2)'!$C$1:$C$201,MATCH(Table3[[#This Row],[EmpID]],'Sheet5 (2)'!$D$1:$D$201,0))</f>
        <v xml:space="preserve"> Punjab</v>
      </c>
      <c r="I36" s="7"/>
    </row>
    <row r="37" spans="1:9" x14ac:dyDescent="0.3">
      <c r="A37" s="6" t="s">
        <v>50</v>
      </c>
      <c r="B37" s="1" t="s">
        <v>250</v>
      </c>
      <c r="C37" s="1" t="s">
        <v>16</v>
      </c>
      <c r="D37" s="1">
        <v>73000</v>
      </c>
      <c r="E37" s="2">
        <v>44070</v>
      </c>
      <c r="F37" s="1" t="str">
        <f>INDEX('Sheet5 (2)'!$A$1:$A$201,MATCH(A37,'Sheet5 (2)'!$D$1:$D$201,0))</f>
        <v>12 Lawrence Road</v>
      </c>
      <c r="G37" s="1" t="str">
        <f>INDEX('Sheet5 (2)'!$B$1:$B$201,MATCH(A37,'Sheet5 (2)'!$D$1:$D$201,0))</f>
        <v xml:space="preserve"> Amritsar</v>
      </c>
      <c r="H37" s="1" t="str">
        <f>INDEX('Sheet5 (2)'!$C$1:$C$201,MATCH(Table3[[#This Row],[EmpID]],'Sheet5 (2)'!$D$1:$D$201,0))</f>
        <v xml:space="preserve"> Punjab</v>
      </c>
      <c r="I37" s="7"/>
    </row>
    <row r="38" spans="1:9" x14ac:dyDescent="0.3">
      <c r="A38" s="6" t="s">
        <v>51</v>
      </c>
      <c r="B38" s="1" t="s">
        <v>251</v>
      </c>
      <c r="C38" s="1" t="s">
        <v>18</v>
      </c>
      <c r="D38" s="1">
        <v>56000</v>
      </c>
      <c r="E38" s="2">
        <v>42324</v>
      </c>
      <c r="F38" s="1" t="str">
        <f>INDEX('Sheet5 (2)'!$A$1:$A$201,MATCH(A38,'Sheet5 (2)'!$D$1:$D$201,0))</f>
        <v>9 Model Town</v>
      </c>
      <c r="G38" s="1" t="str">
        <f>INDEX('Sheet5 (2)'!$B$1:$B$201,MATCH(A38,'Sheet5 (2)'!$D$1:$D$201,0))</f>
        <v xml:space="preserve"> Jalandhar</v>
      </c>
      <c r="H38" s="1" t="str">
        <f>INDEX('Sheet5 (2)'!$C$1:$C$201,MATCH(Table3[[#This Row],[EmpID]],'Sheet5 (2)'!$D$1:$D$201,0))</f>
        <v xml:space="preserve"> Punjab</v>
      </c>
      <c r="I38" s="7"/>
    </row>
    <row r="39" spans="1:9" x14ac:dyDescent="0.3">
      <c r="A39" s="6" t="s">
        <v>52</v>
      </c>
      <c r="B39" s="1" t="s">
        <v>252</v>
      </c>
      <c r="C39" s="1" t="s">
        <v>20</v>
      </c>
      <c r="D39" s="1">
        <v>67000</v>
      </c>
      <c r="E39" s="2">
        <v>43105</v>
      </c>
      <c r="F39" s="1" t="str">
        <f>INDEX('Sheet5 (2)'!$A$1:$A$201,MATCH(A39,'Sheet5 (2)'!$D$1:$D$201,0))</f>
        <v>21 Rajpur Road</v>
      </c>
      <c r="G39" s="1" t="str">
        <f>INDEX('Sheet5 (2)'!$B$1:$B$201,MATCH(A39,'Sheet5 (2)'!$D$1:$D$201,0))</f>
        <v xml:space="preserve"> Dehradun</v>
      </c>
      <c r="H39" s="1" t="str">
        <f>INDEX('Sheet5 (2)'!$C$1:$C$201,MATCH(Table3[[#This Row],[EmpID]],'Sheet5 (2)'!$D$1:$D$201,0))</f>
        <v xml:space="preserve"> Uttarakhand</v>
      </c>
      <c r="I39" s="7"/>
    </row>
    <row r="40" spans="1:9" x14ac:dyDescent="0.3">
      <c r="A40" s="6" t="s">
        <v>53</v>
      </c>
      <c r="B40" s="1" t="s">
        <v>253</v>
      </c>
      <c r="C40" s="1" t="s">
        <v>22</v>
      </c>
      <c r="D40" s="1">
        <v>71000</v>
      </c>
      <c r="E40" s="2">
        <v>44673</v>
      </c>
      <c r="F40" s="1" t="str">
        <f>INDEX('Sheet5 (2)'!$A$1:$A$201,MATCH(A40,'Sheet5 (2)'!$D$1:$D$201,0))</f>
        <v>6 The Mall</v>
      </c>
      <c r="G40" s="1" t="str">
        <f>INDEX('Sheet5 (2)'!$B$1:$B$201,MATCH(A40,'Sheet5 (2)'!$D$1:$D$201,0))</f>
        <v xml:space="preserve"> Shimla</v>
      </c>
      <c r="H40" s="1" t="str">
        <f>INDEX('Sheet5 (2)'!$C$1:$C$201,MATCH(Table3[[#This Row],[EmpID]],'Sheet5 (2)'!$D$1:$D$201,0))</f>
        <v xml:space="preserve"> Himachal Pradesh</v>
      </c>
      <c r="I40" s="7"/>
    </row>
    <row r="41" spans="1:9" x14ac:dyDescent="0.3">
      <c r="A41" s="6" t="s">
        <v>54</v>
      </c>
      <c r="B41" s="1" t="s">
        <v>254</v>
      </c>
      <c r="C41" s="1" t="s">
        <v>24</v>
      </c>
      <c r="D41" s="1">
        <v>64000</v>
      </c>
      <c r="E41" s="2">
        <v>42803</v>
      </c>
      <c r="F41" s="1" t="str">
        <f>INDEX('Sheet5 (2)'!$A$1:$A$201,MATCH(A41,'Sheet5 (2)'!$D$1:$D$201,0))</f>
        <v>11 Lal Chowk</v>
      </c>
      <c r="G41" s="1" t="str">
        <f>INDEX('Sheet5 (2)'!$B$1:$B$201,MATCH(A41,'Sheet5 (2)'!$D$1:$D$201,0))</f>
        <v xml:space="preserve"> Srinagar</v>
      </c>
      <c r="H41" s="1" t="str">
        <f>INDEX('Sheet5 (2)'!$C$1:$C$201,MATCH(Table3[[#This Row],[EmpID]],'Sheet5 (2)'!$D$1:$D$201,0))</f>
        <v xml:space="preserve"> Jammu and Kashmir</v>
      </c>
      <c r="I41" s="7"/>
    </row>
    <row r="42" spans="1:9" x14ac:dyDescent="0.3">
      <c r="A42" s="6" t="s">
        <v>55</v>
      </c>
      <c r="B42" s="1" t="s">
        <v>255</v>
      </c>
      <c r="C42" s="1" t="s">
        <v>6</v>
      </c>
      <c r="D42" s="1">
        <v>52000</v>
      </c>
      <c r="E42" s="2">
        <v>43674</v>
      </c>
      <c r="F42" s="1" t="str">
        <f>INDEX('Sheet5 (2)'!$A$1:$A$201,MATCH(A42,'Sheet5 (2)'!$D$1:$D$201,0))</f>
        <v>8 GS Road</v>
      </c>
      <c r="G42" s="1" t="str">
        <f>INDEX('Sheet5 (2)'!$B$1:$B$201,MATCH(A42,'Sheet5 (2)'!$D$1:$D$201,0))</f>
        <v xml:space="preserve"> Guwahati</v>
      </c>
      <c r="H42" s="1" t="str">
        <f>INDEX('Sheet5 (2)'!$C$1:$C$201,MATCH(Table3[[#This Row],[EmpID]],'Sheet5 (2)'!$D$1:$D$201,0))</f>
        <v xml:space="preserve"> Assam</v>
      </c>
      <c r="I42" s="7"/>
    </row>
    <row r="43" spans="1:9" x14ac:dyDescent="0.3">
      <c r="A43" s="6" t="s">
        <v>56</v>
      </c>
      <c r="B43" s="1" t="s">
        <v>256</v>
      </c>
      <c r="C43" s="1" t="s">
        <v>8</v>
      </c>
      <c r="D43" s="1">
        <v>48000</v>
      </c>
      <c r="E43" s="2">
        <v>44141</v>
      </c>
      <c r="F43" s="1" t="str">
        <f>INDEX('Sheet5 (2)'!$A$1:$A$201,MATCH(A43,'Sheet5 (2)'!$D$1:$D$201,0))</f>
        <v>4 Thangal Bazar</v>
      </c>
      <c r="G43" s="1" t="str">
        <f>INDEX('Sheet5 (2)'!$B$1:$B$201,MATCH(A43,'Sheet5 (2)'!$D$1:$D$201,0))</f>
        <v xml:space="preserve"> Imphal</v>
      </c>
      <c r="H43" s="1" t="str">
        <f>INDEX('Sheet5 (2)'!$C$1:$C$201,MATCH(Table3[[#This Row],[EmpID]],'Sheet5 (2)'!$D$1:$D$201,0))</f>
        <v xml:space="preserve"> Manipur</v>
      </c>
      <c r="I43" s="7"/>
    </row>
    <row r="44" spans="1:9" x14ac:dyDescent="0.3">
      <c r="A44" s="6" t="s">
        <v>57</v>
      </c>
      <c r="B44" s="1" t="s">
        <v>257</v>
      </c>
      <c r="C44" s="1" t="s">
        <v>10</v>
      </c>
      <c r="D44" s="1">
        <v>75000</v>
      </c>
      <c r="E44" s="2">
        <v>43237</v>
      </c>
      <c r="F44" s="1" t="str">
        <f>INDEX('Sheet5 (2)'!$A$1:$A$201,MATCH(A44,'Sheet5 (2)'!$D$1:$D$201,0))</f>
        <v>2 VIP Road</v>
      </c>
      <c r="G44" s="1" t="str">
        <f>INDEX('Sheet5 (2)'!$B$1:$B$201,MATCH(A44,'Sheet5 (2)'!$D$1:$D$201,0))</f>
        <v xml:space="preserve"> Itanagar</v>
      </c>
      <c r="H44" s="1" t="str">
        <f>INDEX('Sheet5 (2)'!$C$1:$C$201,MATCH(Table3[[#This Row],[EmpID]],'Sheet5 (2)'!$D$1:$D$201,0))</f>
        <v xml:space="preserve"> Arunachal Pradesh</v>
      </c>
      <c r="I44" s="7"/>
    </row>
    <row r="45" spans="1:9" x14ac:dyDescent="0.3">
      <c r="A45" s="6" t="s">
        <v>58</v>
      </c>
      <c r="B45" s="1" t="s">
        <v>258</v>
      </c>
      <c r="C45" s="1" t="s">
        <v>12</v>
      </c>
      <c r="D45" s="1">
        <v>61000</v>
      </c>
      <c r="E45" s="2">
        <v>44440</v>
      </c>
      <c r="F45" s="1" t="str">
        <f>INDEX('Sheet5 (2)'!$A$1:$A$201,MATCH(A45,'Sheet5 (2)'!$D$1:$D$201,0))</f>
        <v>7 Kohima Road</v>
      </c>
      <c r="G45" s="1" t="str">
        <f>INDEX('Sheet5 (2)'!$B$1:$B$201,MATCH(A45,'Sheet5 (2)'!$D$1:$D$201,0))</f>
        <v xml:space="preserve"> Kohima</v>
      </c>
      <c r="H45" s="1" t="str">
        <f>INDEX('Sheet5 (2)'!$C$1:$C$201,MATCH(Table3[[#This Row],[EmpID]],'Sheet5 (2)'!$D$1:$D$201,0))</f>
        <v xml:space="preserve"> Nagaland</v>
      </c>
      <c r="I45" s="7"/>
    </row>
    <row r="46" spans="1:9" x14ac:dyDescent="0.3">
      <c r="A46" s="6" t="s">
        <v>59</v>
      </c>
      <c r="B46" s="1" t="s">
        <v>259</v>
      </c>
      <c r="C46" s="1" t="s">
        <v>14</v>
      </c>
      <c r="D46" s="1">
        <v>69000</v>
      </c>
      <c r="E46" s="2">
        <v>42779</v>
      </c>
      <c r="F46" s="1" t="str">
        <f>INDEX('Sheet5 (2)'!$A$1:$A$201,MATCH(A46,'Sheet5 (2)'!$D$1:$D$201,0))</f>
        <v>15 Zarkawt</v>
      </c>
      <c r="G46" s="1" t="str">
        <f>INDEX('Sheet5 (2)'!$B$1:$B$201,MATCH(A46,'Sheet5 (2)'!$D$1:$D$201,0))</f>
        <v xml:space="preserve"> Aizawl</v>
      </c>
      <c r="H46" s="1" t="str">
        <f>INDEX('Sheet5 (2)'!$C$1:$C$201,MATCH(Table3[[#This Row],[EmpID]],'Sheet5 (2)'!$D$1:$D$201,0))</f>
        <v xml:space="preserve"> Mizoram</v>
      </c>
      <c r="I46" s="7"/>
    </row>
    <row r="47" spans="1:9" x14ac:dyDescent="0.3">
      <c r="A47" s="6" t="s">
        <v>60</v>
      </c>
      <c r="B47" s="1" t="s">
        <v>260</v>
      </c>
      <c r="C47" s="1" t="s">
        <v>16</v>
      </c>
      <c r="D47" s="1">
        <v>72000</v>
      </c>
      <c r="E47" s="2">
        <v>44914</v>
      </c>
      <c r="F47" s="1" t="str">
        <f>INDEX('Sheet5 (2)'!$A$1:$A$201,MATCH(A47,'Sheet5 (2)'!$D$1:$D$201,0))</f>
        <v>9 Aberdeen Bazaar</v>
      </c>
      <c r="G47" s="1" t="str">
        <f>INDEX('Sheet5 (2)'!$B$1:$B$201,MATCH(A47,'Sheet5 (2)'!$D$1:$D$201,0))</f>
        <v xml:space="preserve"> Port Blair</v>
      </c>
      <c r="H47" s="1" t="str">
        <f>INDEX('Sheet5 (2)'!$C$1:$C$201,MATCH(Table3[[#This Row],[EmpID]],'Sheet5 (2)'!$D$1:$D$201,0))</f>
        <v xml:space="preserve"> Andaman and Nicobar Islands</v>
      </c>
      <c r="I47" s="7"/>
    </row>
    <row r="48" spans="1:9" x14ac:dyDescent="0.3">
      <c r="A48" s="6" t="s">
        <v>61</v>
      </c>
      <c r="B48" s="1" t="s">
        <v>261</v>
      </c>
      <c r="C48" s="1" t="s">
        <v>18</v>
      </c>
      <c r="D48" s="1">
        <v>50000</v>
      </c>
      <c r="E48" s="2">
        <v>43701</v>
      </c>
      <c r="F48" s="1" t="str">
        <f>INDEX('Sheet5 (2)'!$A$1:$A$201,MATCH(A48,'Sheet5 (2)'!$D$1:$D$201,0))</f>
        <v>33 MG Road</v>
      </c>
      <c r="G48" s="1" t="str">
        <f>INDEX('Sheet5 (2)'!$B$1:$B$201,MATCH(A48,'Sheet5 (2)'!$D$1:$D$201,0))</f>
        <v xml:space="preserve"> New Delhi</v>
      </c>
      <c r="H48" s="1" t="str">
        <f>INDEX('Sheet5 (2)'!$C$1:$C$201,MATCH(Table3[[#This Row],[EmpID]],'Sheet5 (2)'!$D$1:$D$201,0))</f>
        <v xml:space="preserve"> Delhi</v>
      </c>
      <c r="I48" s="7"/>
    </row>
    <row r="49" spans="1:9" x14ac:dyDescent="0.3">
      <c r="A49" s="6" t="s">
        <v>62</v>
      </c>
      <c r="B49" s="1" t="s">
        <v>262</v>
      </c>
      <c r="C49" s="1" t="s">
        <v>20</v>
      </c>
      <c r="D49" s="1">
        <v>66000</v>
      </c>
      <c r="E49" s="2">
        <v>43837</v>
      </c>
      <c r="F49" s="1" t="str">
        <f>INDEX('Sheet5 (2)'!$A$1:$A$201,MATCH(A49,'Sheet5 (2)'!$D$1:$D$201,0))</f>
        <v>27 Park Street</v>
      </c>
      <c r="G49" s="1" t="str">
        <f>INDEX('Sheet5 (2)'!$B$1:$B$201,MATCH(A49,'Sheet5 (2)'!$D$1:$D$201,0))</f>
        <v xml:space="preserve"> Kolkata</v>
      </c>
      <c r="H49" s="1" t="str">
        <f>INDEX('Sheet5 (2)'!$C$1:$C$201,MATCH(Table3[[#This Row],[EmpID]],'Sheet5 (2)'!$D$1:$D$201,0))</f>
        <v xml:space="preserve"> West Bengal</v>
      </c>
      <c r="I49" s="7"/>
    </row>
    <row r="50" spans="1:9" x14ac:dyDescent="0.3">
      <c r="A50" s="6" t="s">
        <v>63</v>
      </c>
      <c r="B50" s="1" t="s">
        <v>263</v>
      </c>
      <c r="C50" s="1" t="s">
        <v>22</v>
      </c>
      <c r="D50" s="1">
        <v>58000</v>
      </c>
      <c r="E50" s="2">
        <v>42523</v>
      </c>
      <c r="F50" s="1" t="str">
        <f>INDEX('Sheet5 (2)'!$A$1:$A$201,MATCH(A50,'Sheet5 (2)'!$D$1:$D$201,0))</f>
        <v>18 Church Street</v>
      </c>
      <c r="G50" s="1" t="str">
        <f>INDEX('Sheet5 (2)'!$B$1:$B$201,MATCH(A50,'Sheet5 (2)'!$D$1:$D$201,0))</f>
        <v xml:space="preserve"> Bangalore</v>
      </c>
      <c r="H50" s="1" t="str">
        <f>INDEX('Sheet5 (2)'!$C$1:$C$201,MATCH(Table3[[#This Row],[EmpID]],'Sheet5 (2)'!$D$1:$D$201,0))</f>
        <v xml:space="preserve"> Karnataka</v>
      </c>
      <c r="I50" s="7"/>
    </row>
    <row r="51" spans="1:9" x14ac:dyDescent="0.3">
      <c r="A51" s="6" t="s">
        <v>64</v>
      </c>
      <c r="B51" s="1" t="s">
        <v>264</v>
      </c>
      <c r="C51" s="1" t="s">
        <v>24</v>
      </c>
      <c r="D51" s="1">
        <v>45000</v>
      </c>
      <c r="E51" s="2">
        <v>42308</v>
      </c>
      <c r="F51" s="1" t="str">
        <f>INDEX('Sheet5 (2)'!$A$1:$A$201,MATCH(A51,'Sheet5 (2)'!$D$1:$D$201,0))</f>
        <v>44 T Nagar</v>
      </c>
      <c r="G51" s="1" t="str">
        <f>INDEX('Sheet5 (2)'!$B$1:$B$201,MATCH(A51,'Sheet5 (2)'!$D$1:$D$201,0))</f>
        <v xml:space="preserve"> Chennai</v>
      </c>
      <c r="H51" s="1" t="str">
        <f>INDEX('Sheet5 (2)'!$C$1:$C$201,MATCH(Table3[[#This Row],[EmpID]],'Sheet5 (2)'!$D$1:$D$201,0))</f>
        <v xml:space="preserve"> Tamil Nadu</v>
      </c>
      <c r="I51" s="7"/>
    </row>
    <row r="52" spans="1:9" x14ac:dyDescent="0.3">
      <c r="A52" s="6" t="s">
        <v>65</v>
      </c>
      <c r="B52" s="1" t="s">
        <v>265</v>
      </c>
      <c r="C52" s="1" t="s">
        <v>6</v>
      </c>
      <c r="D52" s="1">
        <v>80000</v>
      </c>
      <c r="E52" s="2">
        <v>43354</v>
      </c>
      <c r="F52" s="1" t="str">
        <f>INDEX('Sheet5 (2)'!$A$1:$A$201,MATCH(A52,'Sheet5 (2)'!$D$1:$D$201,0))</f>
        <v>66 Colaba Causeway</v>
      </c>
      <c r="G52" s="1" t="str">
        <f>INDEX('Sheet5 (2)'!$B$1:$B$201,MATCH(A52,'Sheet5 (2)'!$D$1:$D$201,0))</f>
        <v xml:space="preserve"> Mumbai</v>
      </c>
      <c r="H52" s="1" t="str">
        <f>INDEX('Sheet5 (2)'!$C$1:$C$201,MATCH(Table3[[#This Row],[EmpID]],'Sheet5 (2)'!$D$1:$D$201,0))</f>
        <v xml:space="preserve"> Maharashtra</v>
      </c>
      <c r="I52" s="7"/>
    </row>
    <row r="53" spans="1:9" x14ac:dyDescent="0.3">
      <c r="A53" s="6" t="s">
        <v>66</v>
      </c>
      <c r="B53" s="1" t="s">
        <v>266</v>
      </c>
      <c r="C53" s="1" t="s">
        <v>8</v>
      </c>
      <c r="D53" s="1">
        <v>54000</v>
      </c>
      <c r="E53" s="2">
        <v>42757</v>
      </c>
      <c r="F53" s="1" t="str">
        <f>INDEX('Sheet5 (2)'!$A$1:$A$201,MATCH(A53,'Sheet5 (2)'!$D$1:$D$201,0))</f>
        <v>12 Koregaon Park</v>
      </c>
      <c r="G53" s="1" t="str">
        <f>INDEX('Sheet5 (2)'!$B$1:$B$201,MATCH(A53,'Sheet5 (2)'!$D$1:$D$201,0))</f>
        <v xml:space="preserve"> Pune</v>
      </c>
      <c r="H53" s="1" t="str">
        <f>INDEX('Sheet5 (2)'!$C$1:$C$201,MATCH(Table3[[#This Row],[EmpID]],'Sheet5 (2)'!$D$1:$D$201,0))</f>
        <v xml:space="preserve"> Maharashtra</v>
      </c>
      <c r="I53" s="7"/>
    </row>
    <row r="54" spans="1:9" x14ac:dyDescent="0.3">
      <c r="A54" s="6" t="s">
        <v>67</v>
      </c>
      <c r="B54" s="1" t="s">
        <v>267</v>
      </c>
      <c r="C54" s="1" t="s">
        <v>10</v>
      </c>
      <c r="D54" s="1">
        <v>47000</v>
      </c>
      <c r="E54" s="2">
        <v>44269</v>
      </c>
      <c r="F54" s="1" t="str">
        <f>INDEX('Sheet5 (2)'!$A$1:$A$201,MATCH(A54,'Sheet5 (2)'!$D$1:$D$201,0))</f>
        <v>5 Banjara Hills</v>
      </c>
      <c r="G54" s="1" t="str">
        <f>INDEX('Sheet5 (2)'!$B$1:$B$201,MATCH(A54,'Sheet5 (2)'!$D$1:$D$201,0))</f>
        <v xml:space="preserve"> Hyderabad</v>
      </c>
      <c r="H54" s="1" t="str">
        <f>INDEX('Sheet5 (2)'!$C$1:$C$201,MATCH(Table3[[#This Row],[EmpID]],'Sheet5 (2)'!$D$1:$D$201,0))</f>
        <v xml:space="preserve"> Telangana</v>
      </c>
      <c r="I54" s="7"/>
    </row>
    <row r="55" spans="1:9" x14ac:dyDescent="0.3">
      <c r="A55" s="6" t="s">
        <v>68</v>
      </c>
      <c r="B55" s="1" t="s">
        <v>268</v>
      </c>
      <c r="C55" s="1" t="s">
        <v>12</v>
      </c>
      <c r="D55" s="1">
        <v>90000</v>
      </c>
      <c r="E55" s="2">
        <v>42556</v>
      </c>
      <c r="F55" s="1" t="str">
        <f>INDEX('Sheet5 (2)'!$A$1:$A$201,MATCH(A55,'Sheet5 (2)'!$D$1:$D$201,0))</f>
        <v>8 CG Road</v>
      </c>
      <c r="G55" s="1" t="str">
        <f>INDEX('Sheet5 (2)'!$B$1:$B$201,MATCH(A55,'Sheet5 (2)'!$D$1:$D$201,0))</f>
        <v xml:space="preserve"> Ahmedabad</v>
      </c>
      <c r="H55" s="1" t="str">
        <f>INDEX('Sheet5 (2)'!$C$1:$C$201,MATCH(Table3[[#This Row],[EmpID]],'Sheet5 (2)'!$D$1:$D$201,0))</f>
        <v xml:space="preserve"> Gujarat</v>
      </c>
      <c r="I55" s="7"/>
    </row>
    <row r="56" spans="1:9" x14ac:dyDescent="0.3">
      <c r="A56" s="6" t="s">
        <v>69</v>
      </c>
      <c r="B56" s="1" t="s">
        <v>269</v>
      </c>
      <c r="C56" s="1" t="s">
        <v>14</v>
      </c>
      <c r="D56" s="1">
        <v>62000</v>
      </c>
      <c r="E56" s="2">
        <v>43764</v>
      </c>
      <c r="F56" s="1" t="str">
        <f>INDEX('Sheet5 (2)'!$A$1:$A$201,MATCH(A56,'Sheet5 (2)'!$D$1:$D$201,0))</f>
        <v>20 Hazratganj</v>
      </c>
      <c r="G56" s="1" t="str">
        <f>INDEX('Sheet5 (2)'!$B$1:$B$201,MATCH(A56,'Sheet5 (2)'!$D$1:$D$201,0))</f>
        <v xml:space="preserve"> Lucknow</v>
      </c>
      <c r="H56" s="1" t="str">
        <f>INDEX('Sheet5 (2)'!$C$1:$C$201,MATCH(Table3[[#This Row],[EmpID]],'Sheet5 (2)'!$D$1:$D$201,0))</f>
        <v xml:space="preserve"> Uttar Pradesh</v>
      </c>
      <c r="I56" s="7"/>
    </row>
    <row r="57" spans="1:9" x14ac:dyDescent="0.3">
      <c r="A57" s="6" t="s">
        <v>70</v>
      </c>
      <c r="B57" s="1" t="s">
        <v>270</v>
      </c>
      <c r="C57" s="1" t="s">
        <v>16</v>
      </c>
      <c r="D57" s="1">
        <v>73000</v>
      </c>
      <c r="E57" s="2">
        <v>43863</v>
      </c>
      <c r="F57" s="1" t="str">
        <f>INDEX('Sheet5 (2)'!$A$1:$A$201,MATCH(A57,'Sheet5 (2)'!$D$1:$D$201,0))</f>
        <v>3 MI Road</v>
      </c>
      <c r="G57" s="1" t="str">
        <f>INDEX('Sheet5 (2)'!$B$1:$B$201,MATCH(A57,'Sheet5 (2)'!$D$1:$D$201,0))</f>
        <v xml:space="preserve"> Jaipur</v>
      </c>
      <c r="H57" s="1" t="str">
        <f>INDEX('Sheet5 (2)'!$C$1:$C$201,MATCH(Table3[[#This Row],[EmpID]],'Sheet5 (2)'!$D$1:$D$201,0))</f>
        <v xml:space="preserve"> Rajasthan</v>
      </c>
      <c r="I57" s="7"/>
    </row>
    <row r="58" spans="1:9" x14ac:dyDescent="0.3">
      <c r="A58" s="6" t="s">
        <v>71</v>
      </c>
      <c r="B58" s="1" t="s">
        <v>271</v>
      </c>
      <c r="C58" s="1" t="s">
        <v>18</v>
      </c>
      <c r="D58" s="1">
        <v>56000</v>
      </c>
      <c r="E58" s="2">
        <v>42173</v>
      </c>
      <c r="F58" s="1" t="str">
        <f>INDEX('Sheet5 (2)'!$A$1:$A$201,MATCH(A58,'Sheet5 (2)'!$D$1:$D$201,0))</f>
        <v>11 Sector 17</v>
      </c>
      <c r="G58" s="1" t="str">
        <f>INDEX('Sheet5 (2)'!$B$1:$B$201,MATCH(A58,'Sheet5 (2)'!$D$1:$D$201,0))</f>
        <v xml:space="preserve"> Chandigarh</v>
      </c>
      <c r="H58" s="1" t="str">
        <f>INDEX('Sheet5 (2)'!$C$1:$C$201,MATCH(Table3[[#This Row],[EmpID]],'Sheet5 (2)'!$D$1:$D$201,0))</f>
        <v xml:space="preserve"> Chandigarh</v>
      </c>
      <c r="I58" s="7"/>
    </row>
    <row r="59" spans="1:9" x14ac:dyDescent="0.3">
      <c r="A59" s="6" t="s">
        <v>72</v>
      </c>
      <c r="B59" s="1" t="s">
        <v>272</v>
      </c>
      <c r="C59" s="1" t="s">
        <v>20</v>
      </c>
      <c r="D59" s="1">
        <v>67000</v>
      </c>
      <c r="E59" s="2">
        <v>43443</v>
      </c>
      <c r="F59" s="1" t="str">
        <f>INDEX('Sheet5 (2)'!$A$1:$A$201,MATCH(A59,'Sheet5 (2)'!$D$1:$D$201,0))</f>
        <v>29 Udyog Vihar</v>
      </c>
      <c r="G59" s="1" t="str">
        <f>INDEX('Sheet5 (2)'!$B$1:$B$201,MATCH(A59,'Sheet5 (2)'!$D$1:$D$201,0))</f>
        <v xml:space="preserve"> Gurgaon</v>
      </c>
      <c r="H59" s="1" t="str">
        <f>INDEX('Sheet5 (2)'!$C$1:$C$201,MATCH(Table3[[#This Row],[EmpID]],'Sheet5 (2)'!$D$1:$D$201,0))</f>
        <v xml:space="preserve"> Haryana</v>
      </c>
      <c r="I59" s="7"/>
    </row>
    <row r="60" spans="1:9" x14ac:dyDescent="0.3">
      <c r="A60" s="6" t="s">
        <v>73</v>
      </c>
      <c r="B60" s="1" t="s">
        <v>273</v>
      </c>
      <c r="C60" s="1" t="s">
        <v>22</v>
      </c>
      <c r="D60" s="1">
        <v>71000</v>
      </c>
      <c r="E60" s="2">
        <v>44581</v>
      </c>
      <c r="F60" s="1" t="str">
        <f>INDEX('Sheet5 (2)'!$A$1:$A$201,MATCH(A60,'Sheet5 (2)'!$D$1:$D$201,0))</f>
        <v>14 Sector 62</v>
      </c>
      <c r="G60" s="1" t="str">
        <f>INDEX('Sheet5 (2)'!$B$1:$B$201,MATCH(A60,'Sheet5 (2)'!$D$1:$D$201,0))</f>
        <v xml:space="preserve"> Noida</v>
      </c>
      <c r="H60" s="1" t="str">
        <f>INDEX('Sheet5 (2)'!$C$1:$C$201,MATCH(Table3[[#This Row],[EmpID]],'Sheet5 (2)'!$D$1:$D$201,0))</f>
        <v xml:space="preserve"> Uttar Pradesh</v>
      </c>
      <c r="I60" s="7"/>
    </row>
    <row r="61" spans="1:9" x14ac:dyDescent="0.3">
      <c r="A61" s="6" t="s">
        <v>74</v>
      </c>
      <c r="B61" s="1" t="s">
        <v>274</v>
      </c>
      <c r="C61" s="1" t="s">
        <v>24</v>
      </c>
      <c r="D61" s="1">
        <v>64000</v>
      </c>
      <c r="E61" s="2">
        <v>43068</v>
      </c>
      <c r="F61" s="1" t="str">
        <f>INDEX('Sheet5 (2)'!$A$1:$A$201,MATCH(A61,'Sheet5 (2)'!$D$1:$D$201,0))</f>
        <v>2 Indirapuram</v>
      </c>
      <c r="G61" s="1" t="str">
        <f>INDEX('Sheet5 (2)'!$B$1:$B$201,MATCH(A61,'Sheet5 (2)'!$D$1:$D$201,0))</f>
        <v xml:space="preserve"> Ghaziabad</v>
      </c>
      <c r="H61" s="1" t="str">
        <f>INDEX('Sheet5 (2)'!$C$1:$C$201,MATCH(Table3[[#This Row],[EmpID]],'Sheet5 (2)'!$D$1:$D$201,0))</f>
        <v xml:space="preserve"> Uttar Pradesh</v>
      </c>
      <c r="I61" s="7"/>
    </row>
    <row r="62" spans="1:9" x14ac:dyDescent="0.3">
      <c r="A62" s="6" t="s">
        <v>75</v>
      </c>
      <c r="B62" s="1" t="s">
        <v>275</v>
      </c>
      <c r="C62" s="1" t="s">
        <v>6</v>
      </c>
      <c r="D62" s="1">
        <v>52000</v>
      </c>
      <c r="E62" s="2">
        <v>43502</v>
      </c>
      <c r="F62" s="1" t="str">
        <f>INDEX('Sheet5 (2)'!$A$1:$A$201,MATCH(A62,'Sheet5 (2)'!$D$1:$D$201,0))</f>
        <v>9 Sector 15</v>
      </c>
      <c r="G62" s="1" t="str">
        <f>INDEX('Sheet5 (2)'!$B$1:$B$201,MATCH(A62,'Sheet5 (2)'!$D$1:$D$201,0))</f>
        <v xml:space="preserve"> Faridabad</v>
      </c>
      <c r="H62" s="1" t="str">
        <f>INDEX('Sheet5 (2)'!$C$1:$C$201,MATCH(Table3[[#This Row],[EmpID]],'Sheet5 (2)'!$D$1:$D$201,0))</f>
        <v xml:space="preserve"> Haryana</v>
      </c>
      <c r="I62" s="7"/>
    </row>
    <row r="63" spans="1:9" x14ac:dyDescent="0.3">
      <c r="A63" s="6" t="s">
        <v>76</v>
      </c>
      <c r="B63" s="1" t="s">
        <v>276</v>
      </c>
      <c r="C63" s="1" t="s">
        <v>8</v>
      </c>
      <c r="D63" s="1">
        <v>48000</v>
      </c>
      <c r="E63" s="2">
        <v>43997</v>
      </c>
      <c r="F63" s="1" t="str">
        <f>INDEX('Sheet5 (2)'!$A$1:$A$201,MATCH(A63,'Sheet5 (2)'!$D$1:$D$201,0))</f>
        <v>18 Swaroop Nagar</v>
      </c>
      <c r="G63" s="1" t="str">
        <f>INDEX('Sheet5 (2)'!$B$1:$B$201,MATCH(A63,'Sheet5 (2)'!$D$1:$D$201,0))</f>
        <v xml:space="preserve"> Kanpur</v>
      </c>
      <c r="H63" s="1" t="str">
        <f>INDEX('Sheet5 (2)'!$C$1:$C$201,MATCH(Table3[[#This Row],[EmpID]],'Sheet5 (2)'!$D$1:$D$201,0))</f>
        <v xml:space="preserve"> Uttar Pradesh</v>
      </c>
      <c r="I63" s="7"/>
    </row>
    <row r="64" spans="1:9" x14ac:dyDescent="0.3">
      <c r="A64" s="6" t="s">
        <v>77</v>
      </c>
      <c r="B64" s="1" t="s">
        <v>277</v>
      </c>
      <c r="C64" s="1" t="s">
        <v>10</v>
      </c>
      <c r="D64" s="1">
        <v>75000</v>
      </c>
      <c r="E64" s="2">
        <v>43335</v>
      </c>
      <c r="F64" s="1" t="str">
        <f>INDEX('Sheet5 (2)'!$A$1:$A$201,MATCH(A64,'Sheet5 (2)'!$D$1:$D$201,0))</f>
        <v>7 Athwagate</v>
      </c>
      <c r="G64" s="1" t="str">
        <f>INDEX('Sheet5 (2)'!$B$1:$B$201,MATCH(A64,'Sheet5 (2)'!$D$1:$D$201,0))</f>
        <v xml:space="preserve"> Surat</v>
      </c>
      <c r="H64" s="1" t="str">
        <f>INDEX('Sheet5 (2)'!$C$1:$C$201,MATCH(Table3[[#This Row],[EmpID]],'Sheet5 (2)'!$D$1:$D$201,0))</f>
        <v xml:space="preserve"> Gujarat</v>
      </c>
      <c r="I64" s="7"/>
    </row>
    <row r="65" spans="1:9" x14ac:dyDescent="0.3">
      <c r="A65" s="6" t="s">
        <v>78</v>
      </c>
      <c r="B65" s="1" t="s">
        <v>278</v>
      </c>
      <c r="C65" s="1" t="s">
        <v>12</v>
      </c>
      <c r="D65" s="1">
        <v>61000</v>
      </c>
      <c r="E65" s="2">
        <v>44296</v>
      </c>
      <c r="F65" s="1" t="str">
        <f>INDEX('Sheet5 (2)'!$A$1:$A$201,MATCH(A65,'Sheet5 (2)'!$D$1:$D$201,0))</f>
        <v>21 Sama Road</v>
      </c>
      <c r="G65" s="1" t="str">
        <f>INDEX('Sheet5 (2)'!$B$1:$B$201,MATCH(A65,'Sheet5 (2)'!$D$1:$D$201,0))</f>
        <v xml:space="preserve"> Vadodara</v>
      </c>
      <c r="H65" s="1" t="str">
        <f>INDEX('Sheet5 (2)'!$C$1:$C$201,MATCH(Table3[[#This Row],[EmpID]],'Sheet5 (2)'!$D$1:$D$201,0))</f>
        <v xml:space="preserve"> Gujarat</v>
      </c>
      <c r="I65" s="7"/>
    </row>
    <row r="66" spans="1:9" x14ac:dyDescent="0.3">
      <c r="A66" s="6" t="s">
        <v>79</v>
      </c>
      <c r="B66" s="1" t="s">
        <v>279</v>
      </c>
      <c r="C66" s="1" t="s">
        <v>14</v>
      </c>
      <c r="D66" s="1">
        <v>69000</v>
      </c>
      <c r="E66" s="2">
        <v>43070</v>
      </c>
      <c r="F66" s="1" t="str">
        <f>INDEX('Sheet5 (2)'!$A$1:$A$201,MATCH(A66,'Sheet5 (2)'!$D$1:$D$201,0))</f>
        <v>16 Bittan Market</v>
      </c>
      <c r="G66" s="1" t="str">
        <f>INDEX('Sheet5 (2)'!$B$1:$B$201,MATCH(A66,'Sheet5 (2)'!$D$1:$D$201,0))</f>
        <v xml:space="preserve"> Bhopal</v>
      </c>
      <c r="H66" s="1" t="str">
        <f>INDEX('Sheet5 (2)'!$C$1:$C$201,MATCH(Table3[[#This Row],[EmpID]],'Sheet5 (2)'!$D$1:$D$201,0))</f>
        <v xml:space="preserve"> Madhya Pradesh</v>
      </c>
      <c r="I66" s="7"/>
    </row>
    <row r="67" spans="1:9" x14ac:dyDescent="0.3">
      <c r="A67" s="6" t="s">
        <v>80</v>
      </c>
      <c r="B67" s="1" t="s">
        <v>280</v>
      </c>
      <c r="C67" s="1" t="s">
        <v>16</v>
      </c>
      <c r="D67" s="1">
        <v>72000</v>
      </c>
      <c r="E67" s="2">
        <v>44688</v>
      </c>
      <c r="F67" s="1" t="str">
        <f>INDEX('Sheet5 (2)'!$A$1:$A$201,MATCH(A67,'Sheet5 (2)'!$D$1:$D$201,0))</f>
        <v>4 MR10 Road</v>
      </c>
      <c r="G67" s="1" t="str">
        <f>INDEX('Sheet5 (2)'!$B$1:$B$201,MATCH(A67,'Sheet5 (2)'!$D$1:$D$201,0))</f>
        <v xml:space="preserve"> Indore</v>
      </c>
      <c r="H67" s="1" t="str">
        <f>INDEX('Sheet5 (2)'!$C$1:$C$201,MATCH(Table3[[#This Row],[EmpID]],'Sheet5 (2)'!$D$1:$D$201,0))</f>
        <v xml:space="preserve"> Madhya Pradesh</v>
      </c>
      <c r="I67" s="7"/>
    </row>
    <row r="68" spans="1:9" x14ac:dyDescent="0.3">
      <c r="A68" s="6" t="s">
        <v>81</v>
      </c>
      <c r="B68" s="1" t="s">
        <v>281</v>
      </c>
      <c r="C68" s="1" t="s">
        <v>18</v>
      </c>
      <c r="D68" s="1">
        <v>50000</v>
      </c>
      <c r="E68" s="2">
        <v>43751</v>
      </c>
      <c r="F68" s="1" t="str">
        <f>INDEX('Sheet5 (2)'!$A$1:$A$201,MATCH(A68,'Sheet5 (2)'!$D$1:$D$201,0))</f>
        <v>12 Kankarbagh</v>
      </c>
      <c r="G68" s="1" t="str">
        <f>INDEX('Sheet5 (2)'!$B$1:$B$201,MATCH(A68,'Sheet5 (2)'!$D$1:$D$201,0))</f>
        <v xml:space="preserve"> Patna</v>
      </c>
      <c r="H68" s="1" t="str">
        <f>INDEX('Sheet5 (2)'!$C$1:$C$201,MATCH(Table3[[#This Row],[EmpID]],'Sheet5 (2)'!$D$1:$D$201,0))</f>
        <v xml:space="preserve"> Bihar</v>
      </c>
      <c r="I68" s="7"/>
    </row>
    <row r="69" spans="1:9" x14ac:dyDescent="0.3">
      <c r="A69" s="6" t="s">
        <v>82</v>
      </c>
      <c r="B69" s="1" t="s">
        <v>282</v>
      </c>
      <c r="C69" s="1" t="s">
        <v>20</v>
      </c>
      <c r="D69" s="1">
        <v>66000</v>
      </c>
      <c r="E69" s="2">
        <v>44076</v>
      </c>
      <c r="F69" s="1" t="str">
        <f>INDEX('Sheet5 (2)'!$A$1:$A$201,MATCH(A69,'Sheet5 (2)'!$D$1:$D$201,0))</f>
        <v>8 Hinoo Road</v>
      </c>
      <c r="G69" s="1" t="str">
        <f>INDEX('Sheet5 (2)'!$B$1:$B$201,MATCH(A69,'Sheet5 (2)'!$D$1:$D$201,0))</f>
        <v xml:space="preserve"> Ranchi</v>
      </c>
      <c r="H69" s="1" t="str">
        <f>INDEX('Sheet5 (2)'!$C$1:$C$201,MATCH(Table3[[#This Row],[EmpID]],'Sheet5 (2)'!$D$1:$D$201,0))</f>
        <v xml:space="preserve"> Jharkhand</v>
      </c>
      <c r="I69" s="7"/>
    </row>
    <row r="70" spans="1:9" x14ac:dyDescent="0.3">
      <c r="A70" s="6" t="s">
        <v>83</v>
      </c>
      <c r="B70" s="1" t="s">
        <v>283</v>
      </c>
      <c r="C70" s="1" t="s">
        <v>22</v>
      </c>
      <c r="D70" s="1">
        <v>58000</v>
      </c>
      <c r="E70" s="2">
        <v>42450</v>
      </c>
      <c r="F70" s="1" t="str">
        <f>INDEX('Sheet5 (2)'!$A$1:$A$201,MATCH(A70,'Sheet5 (2)'!$D$1:$D$201,0))</f>
        <v>5 Rasulgarh</v>
      </c>
      <c r="G70" s="1" t="str">
        <f>INDEX('Sheet5 (2)'!$B$1:$B$201,MATCH(A70,'Sheet5 (2)'!$D$1:$D$201,0))</f>
        <v xml:space="preserve"> Bhubaneswar</v>
      </c>
      <c r="H70" s="1" t="str">
        <f>INDEX('Sheet5 (2)'!$C$1:$C$201,MATCH(Table3[[#This Row],[EmpID]],'Sheet5 (2)'!$D$1:$D$201,0))</f>
        <v xml:space="preserve"> Odisha</v>
      </c>
      <c r="I70" s="7"/>
    </row>
    <row r="71" spans="1:9" x14ac:dyDescent="0.3">
      <c r="A71" s="6" t="s">
        <v>84</v>
      </c>
      <c r="B71" s="1" t="s">
        <v>284</v>
      </c>
      <c r="C71" s="1" t="s">
        <v>24</v>
      </c>
      <c r="D71" s="1">
        <v>45000</v>
      </c>
      <c r="E71" s="2">
        <v>42232</v>
      </c>
      <c r="F71" s="1" t="str">
        <f>INDEX('Sheet5 (2)'!$A$1:$A$201,MATCH(A71,'Sheet5 (2)'!$D$1:$D$201,0))</f>
        <v>10 Gandhipuram</v>
      </c>
      <c r="G71" s="1" t="str">
        <f>INDEX('Sheet5 (2)'!$B$1:$B$201,MATCH(A71,'Sheet5 (2)'!$D$1:$D$201,0))</f>
        <v xml:space="preserve"> Coimbatore</v>
      </c>
      <c r="H71" s="1" t="str">
        <f>INDEX('Sheet5 (2)'!$C$1:$C$201,MATCH(Table3[[#This Row],[EmpID]],'Sheet5 (2)'!$D$1:$D$201,0))</f>
        <v xml:space="preserve"> Tamil Nadu</v>
      </c>
      <c r="I71" s="7"/>
    </row>
    <row r="72" spans="1:9" x14ac:dyDescent="0.3">
      <c r="A72" s="6" t="s">
        <v>85</v>
      </c>
      <c r="B72" s="1" t="s">
        <v>285</v>
      </c>
      <c r="C72" s="1" t="s">
        <v>6</v>
      </c>
      <c r="D72" s="1">
        <v>80000</v>
      </c>
      <c r="E72" s="2">
        <v>43159</v>
      </c>
      <c r="F72" s="1" t="str">
        <f>INDEX('Sheet5 (2)'!$A$1:$A$201,MATCH(A72,'Sheet5 (2)'!$D$1:$D$201,0))</f>
        <v>3 Fort Kochi</v>
      </c>
      <c r="G72" s="1" t="str">
        <f>INDEX('Sheet5 (2)'!$B$1:$B$201,MATCH(A72,'Sheet5 (2)'!$D$1:$D$201,0))</f>
        <v xml:space="preserve"> Kochi</v>
      </c>
      <c r="H72" s="1" t="str">
        <f>INDEX('Sheet5 (2)'!$C$1:$C$201,MATCH(Table3[[#This Row],[EmpID]],'Sheet5 (2)'!$D$1:$D$201,0))</f>
        <v xml:space="preserve"> Kerala</v>
      </c>
      <c r="I72" s="7"/>
    </row>
    <row r="73" spans="1:9" x14ac:dyDescent="0.3">
      <c r="A73" s="6" t="s">
        <v>86</v>
      </c>
      <c r="B73" s="1" t="s">
        <v>286</v>
      </c>
      <c r="C73" s="1" t="s">
        <v>8</v>
      </c>
      <c r="D73" s="1">
        <v>54000</v>
      </c>
      <c r="E73" s="2">
        <v>42834</v>
      </c>
      <c r="F73" s="1" t="str">
        <f>INDEX('Sheet5 (2)'!$A$1:$A$201,MATCH(A73,'Sheet5 (2)'!$D$1:$D$201,0))</f>
        <v>22 Pattom</v>
      </c>
      <c r="G73" s="1" t="str">
        <f>INDEX('Sheet5 (2)'!$B$1:$B$201,MATCH(A73,'Sheet5 (2)'!$D$1:$D$201,0))</f>
        <v xml:space="preserve"> Thiruvananthapuram</v>
      </c>
      <c r="H73" s="1" t="str">
        <f>INDEX('Sheet5 (2)'!$C$1:$C$201,MATCH(Table3[[#This Row],[EmpID]],'Sheet5 (2)'!$D$1:$D$201,0))</f>
        <v xml:space="preserve"> Kerala</v>
      </c>
      <c r="I73" s="7"/>
    </row>
    <row r="74" spans="1:9" x14ac:dyDescent="0.3">
      <c r="A74" s="6" t="s">
        <v>87</v>
      </c>
      <c r="B74" s="1" t="s">
        <v>287</v>
      </c>
      <c r="C74" s="1" t="s">
        <v>10</v>
      </c>
      <c r="D74" s="1">
        <v>47000</v>
      </c>
      <c r="E74" s="2">
        <v>44365</v>
      </c>
      <c r="F74" s="1" t="str">
        <f>INDEX('Sheet5 (2)'!$A$1:$A$201,MATCH(A74,'Sheet5 (2)'!$D$1:$D$201,0))</f>
        <v>6 Nazarbad Road</v>
      </c>
      <c r="G74" s="1" t="str">
        <f>INDEX('Sheet5 (2)'!$B$1:$B$201,MATCH(A74,'Sheet5 (2)'!$D$1:$D$201,0))</f>
        <v xml:space="preserve"> Mysore</v>
      </c>
      <c r="H74" s="1" t="str">
        <f>INDEX('Sheet5 (2)'!$C$1:$C$201,MATCH(Table3[[#This Row],[EmpID]],'Sheet5 (2)'!$D$1:$D$201,0))</f>
        <v xml:space="preserve"> Karnataka</v>
      </c>
      <c r="I74" s="7"/>
    </row>
    <row r="75" spans="1:9" x14ac:dyDescent="0.3">
      <c r="A75" s="6" t="s">
        <v>88</v>
      </c>
      <c r="B75" s="1" t="s">
        <v>288</v>
      </c>
      <c r="C75" s="1" t="s">
        <v>12</v>
      </c>
      <c r="D75" s="1">
        <v>90000</v>
      </c>
      <c r="E75" s="2">
        <v>42670</v>
      </c>
      <c r="F75" s="1" t="str">
        <f>INDEX('Sheet5 (2)'!$A$1:$A$201,MATCH(A75,'Sheet5 (2)'!$D$1:$D$201,0))</f>
        <v>11 Dharampeth</v>
      </c>
      <c r="G75" s="1" t="str">
        <f>INDEX('Sheet5 (2)'!$B$1:$B$201,MATCH(A75,'Sheet5 (2)'!$D$1:$D$201,0))</f>
        <v xml:space="preserve"> Nagpur</v>
      </c>
      <c r="H75" s="1" t="str">
        <f>INDEX('Sheet5 (2)'!$C$1:$C$201,MATCH(Table3[[#This Row],[EmpID]],'Sheet5 (2)'!$D$1:$D$201,0))</f>
        <v xml:space="preserve"> Maharashtra</v>
      </c>
      <c r="I75" s="7"/>
    </row>
    <row r="76" spans="1:9" x14ac:dyDescent="0.3">
      <c r="A76" s="6" t="s">
        <v>89</v>
      </c>
      <c r="B76" s="1" t="s">
        <v>289</v>
      </c>
      <c r="C76" s="1" t="s">
        <v>14</v>
      </c>
      <c r="D76" s="1">
        <v>62000</v>
      </c>
      <c r="E76" s="2">
        <v>43777</v>
      </c>
      <c r="F76" s="1" t="str">
        <f>INDEX('Sheet5 (2)'!$A$1:$A$201,MATCH(A76,'Sheet5 (2)'!$D$1:$D$201,0))</f>
        <v>14 College Road</v>
      </c>
      <c r="G76" s="1" t="str">
        <f>INDEX('Sheet5 (2)'!$B$1:$B$201,MATCH(A76,'Sheet5 (2)'!$D$1:$D$201,0))</f>
        <v xml:space="preserve"> Nashik</v>
      </c>
      <c r="H76" s="1" t="str">
        <f>INDEX('Sheet5 (2)'!$C$1:$C$201,MATCH(Table3[[#This Row],[EmpID]],'Sheet5 (2)'!$D$1:$D$201,0))</f>
        <v xml:space="preserve"> Maharashtra</v>
      </c>
      <c r="I76" s="7"/>
    </row>
    <row r="77" spans="1:9" x14ac:dyDescent="0.3">
      <c r="A77" s="6" t="s">
        <v>90</v>
      </c>
      <c r="B77" s="1" t="s">
        <v>290</v>
      </c>
      <c r="C77" s="1" t="s">
        <v>16</v>
      </c>
      <c r="D77" s="1">
        <v>73000</v>
      </c>
      <c r="E77" s="2">
        <v>43860</v>
      </c>
      <c r="F77" s="1" t="str">
        <f>INDEX('Sheet5 (2)'!$A$1:$A$201,MATCH(A77,'Sheet5 (2)'!$D$1:$D$201,0))</f>
        <v>9 Sardarpura</v>
      </c>
      <c r="G77" s="1" t="str">
        <f>INDEX('Sheet5 (2)'!$B$1:$B$201,MATCH(A77,'Sheet5 (2)'!$D$1:$D$201,0))</f>
        <v xml:space="preserve"> Jodhpur</v>
      </c>
      <c r="H77" s="1" t="str">
        <f>INDEX('Sheet5 (2)'!$C$1:$C$201,MATCH(Table3[[#This Row],[EmpID]],'Sheet5 (2)'!$D$1:$D$201,0))</f>
        <v xml:space="preserve"> Rajasthan</v>
      </c>
      <c r="I77" s="7"/>
    </row>
    <row r="78" spans="1:9" x14ac:dyDescent="0.3">
      <c r="A78" s="6" t="s">
        <v>91</v>
      </c>
      <c r="B78" s="1" t="s">
        <v>291</v>
      </c>
      <c r="C78" s="1" t="s">
        <v>18</v>
      </c>
      <c r="D78" s="1">
        <v>56000</v>
      </c>
      <c r="E78" s="2">
        <v>42066</v>
      </c>
      <c r="F78" s="1" t="str">
        <f>INDEX('Sheet5 (2)'!$A$1:$A$201,MATCH(A78,'Sheet5 (2)'!$D$1:$D$201,0))</f>
        <v>5 Dewali</v>
      </c>
      <c r="G78" s="1" t="str">
        <f>INDEX('Sheet5 (2)'!$B$1:$B$201,MATCH(A78,'Sheet5 (2)'!$D$1:$D$201,0))</f>
        <v xml:space="preserve"> Udaipur</v>
      </c>
      <c r="H78" s="1" t="str">
        <f>INDEX('Sheet5 (2)'!$C$1:$C$201,MATCH(Table3[[#This Row],[EmpID]],'Sheet5 (2)'!$D$1:$D$201,0))</f>
        <v xml:space="preserve"> Rajasthan</v>
      </c>
      <c r="I78" s="7"/>
    </row>
    <row r="79" spans="1:9" x14ac:dyDescent="0.3">
      <c r="A79" s="6" t="s">
        <v>92</v>
      </c>
      <c r="B79" s="1" t="s">
        <v>292</v>
      </c>
      <c r="C79" s="1" t="s">
        <v>20</v>
      </c>
      <c r="D79" s="1">
        <v>67000</v>
      </c>
      <c r="E79" s="2">
        <v>43293</v>
      </c>
      <c r="F79" s="1" t="str">
        <f>INDEX('Sheet5 (2)'!$A$1:$A$201,MATCH(A79,'Sheet5 (2)'!$D$1:$D$201,0))</f>
        <v>18 Sanjay Place</v>
      </c>
      <c r="G79" s="1" t="str">
        <f>INDEX('Sheet5 (2)'!$B$1:$B$201,MATCH(A79,'Sheet5 (2)'!$D$1:$D$201,0))</f>
        <v xml:space="preserve"> Agra</v>
      </c>
      <c r="H79" s="1" t="str">
        <f>INDEX('Sheet5 (2)'!$C$1:$C$201,MATCH(Table3[[#This Row],[EmpID]],'Sheet5 (2)'!$D$1:$D$201,0))</f>
        <v xml:space="preserve"> Uttar Pradesh</v>
      </c>
      <c r="I79" s="7"/>
    </row>
    <row r="80" spans="1:9" x14ac:dyDescent="0.3">
      <c r="A80" s="6" t="s">
        <v>93</v>
      </c>
      <c r="B80" s="1" t="s">
        <v>293</v>
      </c>
      <c r="C80" s="1" t="s">
        <v>22</v>
      </c>
      <c r="D80" s="1">
        <v>71000</v>
      </c>
      <c r="E80" s="2">
        <v>44798</v>
      </c>
      <c r="F80" s="1" t="str">
        <f>INDEX('Sheet5 (2)'!$A$1:$A$201,MATCH(A80,'Sheet5 (2)'!$D$1:$D$201,0))</f>
        <v>2 Lanka Road</v>
      </c>
      <c r="G80" s="1" t="str">
        <f>INDEX('Sheet5 (2)'!$B$1:$B$201,MATCH(A80,'Sheet5 (2)'!$D$1:$D$201,0))</f>
        <v xml:space="preserve"> Varanasi</v>
      </c>
      <c r="H80" s="1" t="str">
        <f>INDEX('Sheet5 (2)'!$C$1:$C$201,MATCH(Table3[[#This Row],[EmpID]],'Sheet5 (2)'!$D$1:$D$201,0))</f>
        <v xml:space="preserve"> Uttar Pradesh</v>
      </c>
      <c r="I80" s="7"/>
    </row>
    <row r="81" spans="1:9" x14ac:dyDescent="0.3">
      <c r="A81" s="6" t="s">
        <v>94</v>
      </c>
      <c r="B81" s="1" t="s">
        <v>294</v>
      </c>
      <c r="C81" s="1" t="s">
        <v>24</v>
      </c>
      <c r="D81" s="1">
        <v>64000</v>
      </c>
      <c r="E81" s="2">
        <v>42992</v>
      </c>
      <c r="F81" s="1" t="str">
        <f>INDEX('Sheet5 (2)'!$A$1:$A$201,MATCH(A81,'Sheet5 (2)'!$D$1:$D$201,0))</f>
        <v>7 Shastri Nagar</v>
      </c>
      <c r="G81" s="1" t="str">
        <f>INDEX('Sheet5 (2)'!$B$1:$B$201,MATCH(A81,'Sheet5 (2)'!$D$1:$D$201,0))</f>
        <v xml:space="preserve"> Meerut</v>
      </c>
      <c r="H81" s="1" t="str">
        <f>INDEX('Sheet5 (2)'!$C$1:$C$201,MATCH(Table3[[#This Row],[EmpID]],'Sheet5 (2)'!$D$1:$D$201,0))</f>
        <v xml:space="preserve"> Uttar Pradesh</v>
      </c>
      <c r="I81" s="7"/>
    </row>
    <row r="82" spans="1:9" x14ac:dyDescent="0.3">
      <c r="A82" s="6" t="s">
        <v>95</v>
      </c>
      <c r="B82" s="1" t="s">
        <v>295</v>
      </c>
      <c r="C82" s="1" t="s">
        <v>6</v>
      </c>
      <c r="D82" s="1">
        <v>52000</v>
      </c>
      <c r="E82" s="2">
        <v>43590</v>
      </c>
      <c r="F82" s="1" t="str">
        <f>INDEX('Sheet5 (2)'!$A$1:$A$201,MATCH(A82,'Sheet5 (2)'!$D$1:$D$201,0))</f>
        <v>20 Ferozepur Road</v>
      </c>
      <c r="G82" s="1" t="str">
        <f>INDEX('Sheet5 (2)'!$B$1:$B$201,MATCH(A82,'Sheet5 (2)'!$D$1:$D$201,0))</f>
        <v xml:space="preserve"> Ludhiana</v>
      </c>
      <c r="H82" s="1" t="str">
        <f>INDEX('Sheet5 (2)'!$C$1:$C$201,MATCH(Table3[[#This Row],[EmpID]],'Sheet5 (2)'!$D$1:$D$201,0))</f>
        <v xml:space="preserve"> Punjab</v>
      </c>
      <c r="I82" s="7"/>
    </row>
    <row r="83" spans="1:9" x14ac:dyDescent="0.3">
      <c r="A83" s="6" t="s">
        <v>96</v>
      </c>
      <c r="B83" s="1" t="s">
        <v>296</v>
      </c>
      <c r="C83" s="1" t="s">
        <v>8</v>
      </c>
      <c r="D83" s="1">
        <v>48000</v>
      </c>
      <c r="E83" s="2">
        <v>43913</v>
      </c>
      <c r="F83" s="1" t="str">
        <f>INDEX('Sheet5 (2)'!$A$1:$A$201,MATCH(A83,'Sheet5 (2)'!$D$1:$D$201,0))</f>
        <v>12 Lawrence Road</v>
      </c>
      <c r="G83" s="1" t="str">
        <f>INDEX('Sheet5 (2)'!$B$1:$B$201,MATCH(A83,'Sheet5 (2)'!$D$1:$D$201,0))</f>
        <v xml:space="preserve"> Amritsar</v>
      </c>
      <c r="H83" s="1" t="str">
        <f>INDEX('Sheet5 (2)'!$C$1:$C$201,MATCH(Table3[[#This Row],[EmpID]],'Sheet5 (2)'!$D$1:$D$201,0))</f>
        <v xml:space="preserve"> Punjab</v>
      </c>
      <c r="I83" s="7"/>
    </row>
    <row r="84" spans="1:9" x14ac:dyDescent="0.3">
      <c r="A84" s="6" t="s">
        <v>97</v>
      </c>
      <c r="B84" s="1" t="s">
        <v>297</v>
      </c>
      <c r="C84" s="1" t="s">
        <v>10</v>
      </c>
      <c r="D84" s="1">
        <v>75000</v>
      </c>
      <c r="E84" s="2">
        <v>43130</v>
      </c>
      <c r="F84" s="1" t="str">
        <f>INDEX('Sheet5 (2)'!$A$1:$A$201,MATCH(A84,'Sheet5 (2)'!$D$1:$D$201,0))</f>
        <v>9 Model Town</v>
      </c>
      <c r="G84" s="1" t="str">
        <f>INDEX('Sheet5 (2)'!$B$1:$B$201,MATCH(A84,'Sheet5 (2)'!$D$1:$D$201,0))</f>
        <v xml:space="preserve"> Jalandhar</v>
      </c>
      <c r="H84" s="1" t="str">
        <f>INDEX('Sheet5 (2)'!$C$1:$C$201,MATCH(Table3[[#This Row],[EmpID]],'Sheet5 (2)'!$D$1:$D$201,0))</f>
        <v xml:space="preserve"> Punjab</v>
      </c>
      <c r="I84" s="7"/>
    </row>
    <row r="85" spans="1:9" x14ac:dyDescent="0.3">
      <c r="A85" s="6" t="s">
        <v>98</v>
      </c>
      <c r="B85" s="1" t="s">
        <v>298</v>
      </c>
      <c r="C85" s="1" t="s">
        <v>12</v>
      </c>
      <c r="D85" s="1">
        <v>61000</v>
      </c>
      <c r="E85" s="2">
        <v>44396</v>
      </c>
      <c r="F85" s="1" t="str">
        <f>INDEX('Sheet5 (2)'!$A$1:$A$201,MATCH(A85,'Sheet5 (2)'!$D$1:$D$201,0))</f>
        <v>25 Rajpur Road</v>
      </c>
      <c r="G85" s="1" t="str">
        <f>INDEX('Sheet5 (2)'!$B$1:$B$201,MATCH(A85,'Sheet5 (2)'!$D$1:$D$201,0))</f>
        <v xml:space="preserve"> Dehradun</v>
      </c>
      <c r="H85" s="1" t="str">
        <f>INDEX('Sheet5 (2)'!$C$1:$C$201,MATCH(Table3[[#This Row],[EmpID]],'Sheet5 (2)'!$D$1:$D$201,0))</f>
        <v xml:space="preserve"> Uttarakhand</v>
      </c>
      <c r="I85" s="7"/>
    </row>
    <row r="86" spans="1:9" x14ac:dyDescent="0.3">
      <c r="A86" s="6" t="s">
        <v>99</v>
      </c>
      <c r="B86" s="1" t="s">
        <v>299</v>
      </c>
      <c r="C86" s="1" t="s">
        <v>14</v>
      </c>
      <c r="D86" s="1">
        <v>69000</v>
      </c>
      <c r="E86" s="2">
        <v>42741</v>
      </c>
      <c r="F86" s="1" t="str">
        <f>INDEX('Sheet5 (2)'!$A$1:$A$201,MATCH(A86,'Sheet5 (2)'!$D$1:$D$201,0))</f>
        <v>6 The Mall</v>
      </c>
      <c r="G86" s="1" t="str">
        <f>INDEX('Sheet5 (2)'!$B$1:$B$201,MATCH(A86,'Sheet5 (2)'!$D$1:$D$201,0))</f>
        <v xml:space="preserve"> Shimla</v>
      </c>
      <c r="H86" s="1" t="str">
        <f>INDEX('Sheet5 (2)'!$C$1:$C$201,MATCH(Table3[[#This Row],[EmpID]],'Sheet5 (2)'!$D$1:$D$201,0))</f>
        <v xml:space="preserve"> Himachal Pradesh</v>
      </c>
      <c r="I86" s="7"/>
    </row>
    <row r="87" spans="1:9" x14ac:dyDescent="0.3">
      <c r="A87" s="6" t="s">
        <v>100</v>
      </c>
      <c r="B87" s="1" t="s">
        <v>300</v>
      </c>
      <c r="C87" s="1" t="s">
        <v>16</v>
      </c>
      <c r="D87" s="1">
        <v>72000</v>
      </c>
      <c r="E87" s="2">
        <v>44845</v>
      </c>
      <c r="F87" s="1" t="str">
        <f>INDEX('Sheet5 (2)'!$A$1:$A$201,MATCH(A87,'Sheet5 (2)'!$D$1:$D$201,0))</f>
        <v>11 Lal Chowk</v>
      </c>
      <c r="G87" s="1" t="str">
        <f>INDEX('Sheet5 (2)'!$B$1:$B$201,MATCH(A87,'Sheet5 (2)'!$D$1:$D$201,0))</f>
        <v xml:space="preserve"> Srinagar</v>
      </c>
      <c r="H87" s="1" t="str">
        <f>INDEX('Sheet5 (2)'!$C$1:$C$201,MATCH(Table3[[#This Row],[EmpID]],'Sheet5 (2)'!$D$1:$D$201,0))</f>
        <v xml:space="preserve"> Jammu and Kashmir</v>
      </c>
      <c r="I87" s="7"/>
    </row>
    <row r="88" spans="1:9" x14ac:dyDescent="0.3">
      <c r="A88" s="6" t="s">
        <v>101</v>
      </c>
      <c r="B88" s="1" t="s">
        <v>301</v>
      </c>
      <c r="C88" s="1" t="s">
        <v>18</v>
      </c>
      <c r="D88" s="1">
        <v>50000</v>
      </c>
      <c r="E88" s="2">
        <v>43579</v>
      </c>
      <c r="F88" s="1" t="str">
        <f>INDEX('Sheet5 (2)'!$A$1:$A$201,MATCH(A88,'Sheet5 (2)'!$D$1:$D$201,0))</f>
        <v>8 GS Road</v>
      </c>
      <c r="G88" s="1" t="str">
        <f>INDEX('Sheet5 (2)'!$B$1:$B$201,MATCH(A88,'Sheet5 (2)'!$D$1:$D$201,0))</f>
        <v xml:space="preserve"> Guwahati</v>
      </c>
      <c r="H88" s="1" t="str">
        <f>INDEX('Sheet5 (2)'!$C$1:$C$201,MATCH(Table3[[#This Row],[EmpID]],'Sheet5 (2)'!$D$1:$D$201,0))</f>
        <v xml:space="preserve"> Assam</v>
      </c>
      <c r="I88" s="7"/>
    </row>
    <row r="89" spans="1:9" x14ac:dyDescent="0.3">
      <c r="A89" s="6" t="s">
        <v>102</v>
      </c>
      <c r="B89" s="1" t="s">
        <v>302</v>
      </c>
      <c r="C89" s="1" t="s">
        <v>20</v>
      </c>
      <c r="D89" s="1">
        <v>66000</v>
      </c>
      <c r="E89" s="2">
        <v>44168</v>
      </c>
      <c r="F89" s="1" t="str">
        <f>INDEX('Sheet5 (2)'!$A$1:$A$201,MATCH(A89,'Sheet5 (2)'!$D$1:$D$201,0))</f>
        <v>3 Thangal Bazar</v>
      </c>
      <c r="G89" s="1" t="str">
        <f>INDEX('Sheet5 (2)'!$B$1:$B$201,MATCH(A89,'Sheet5 (2)'!$D$1:$D$201,0))</f>
        <v xml:space="preserve"> Imphal</v>
      </c>
      <c r="H89" s="1" t="str">
        <f>INDEX('Sheet5 (2)'!$C$1:$C$201,MATCH(Table3[[#This Row],[EmpID]],'Sheet5 (2)'!$D$1:$D$201,0))</f>
        <v xml:space="preserve"> Manipur</v>
      </c>
      <c r="I89" s="7"/>
    </row>
    <row r="90" spans="1:9" x14ac:dyDescent="0.3">
      <c r="A90" s="6" t="s">
        <v>103</v>
      </c>
      <c r="B90" s="1" t="s">
        <v>303</v>
      </c>
      <c r="C90" s="1" t="s">
        <v>22</v>
      </c>
      <c r="D90" s="1">
        <v>58000</v>
      </c>
      <c r="E90" s="2">
        <v>42687</v>
      </c>
      <c r="F90" s="1" t="str">
        <f>INDEX('Sheet5 (2)'!$A$1:$A$201,MATCH(A90,'Sheet5 (2)'!$D$1:$D$201,0))</f>
        <v>14 VIP Road</v>
      </c>
      <c r="G90" s="1" t="str">
        <f>INDEX('Sheet5 (2)'!$B$1:$B$201,MATCH(A90,'Sheet5 (2)'!$D$1:$D$201,0))</f>
        <v xml:space="preserve"> Itanagar</v>
      </c>
      <c r="H90" s="1" t="str">
        <f>INDEX('Sheet5 (2)'!$C$1:$C$201,MATCH(Table3[[#This Row],[EmpID]],'Sheet5 (2)'!$D$1:$D$201,0))</f>
        <v xml:space="preserve"> Arunachal Pradesh</v>
      </c>
      <c r="I90" s="7"/>
    </row>
    <row r="91" spans="1:9" x14ac:dyDescent="0.3">
      <c r="A91" s="6" t="s">
        <v>104</v>
      </c>
      <c r="B91" s="1" t="s">
        <v>304</v>
      </c>
      <c r="C91" s="1" t="s">
        <v>24</v>
      </c>
      <c r="D91" s="1">
        <v>45000</v>
      </c>
      <c r="E91" s="2">
        <v>42036</v>
      </c>
      <c r="F91" s="1" t="str">
        <f>INDEX('Sheet5 (2)'!$A$1:$A$201,MATCH(A91,'Sheet5 (2)'!$D$1:$D$201,0))</f>
        <v>5 Kohima Road</v>
      </c>
      <c r="G91" s="1" t="str">
        <f>INDEX('Sheet5 (2)'!$B$1:$B$201,MATCH(A91,'Sheet5 (2)'!$D$1:$D$201,0))</f>
        <v xml:space="preserve"> Kohima</v>
      </c>
      <c r="H91" s="1" t="str">
        <f>INDEX('Sheet5 (2)'!$C$1:$C$201,MATCH(Table3[[#This Row],[EmpID]],'Sheet5 (2)'!$D$1:$D$201,0))</f>
        <v xml:space="preserve"> Nagaland</v>
      </c>
      <c r="I91" s="7"/>
    </row>
    <row r="92" spans="1:9" x14ac:dyDescent="0.3">
      <c r="A92" s="6" t="s">
        <v>105</v>
      </c>
      <c r="B92" s="1" t="s">
        <v>305</v>
      </c>
      <c r="C92" s="1" t="s">
        <v>6</v>
      </c>
      <c r="D92" s="1">
        <v>80000</v>
      </c>
      <c r="E92" s="2">
        <v>43175</v>
      </c>
      <c r="F92" s="1" t="str">
        <f>INDEX('Sheet5 (2)'!$A$1:$A$201,MATCH(A92,'Sheet5 (2)'!$D$1:$D$201,0))</f>
        <v>19 Zarkawt</v>
      </c>
      <c r="G92" s="1" t="str">
        <f>INDEX('Sheet5 (2)'!$B$1:$B$201,MATCH(A92,'Sheet5 (2)'!$D$1:$D$201,0))</f>
        <v xml:space="preserve"> Aizawl</v>
      </c>
      <c r="H92" s="1" t="str">
        <f>INDEX('Sheet5 (2)'!$C$1:$C$201,MATCH(Table3[[#This Row],[EmpID]],'Sheet5 (2)'!$D$1:$D$201,0))</f>
        <v xml:space="preserve"> Mizoram</v>
      </c>
      <c r="I92" s="7"/>
    </row>
    <row r="93" spans="1:9" x14ac:dyDescent="0.3">
      <c r="A93" s="6" t="s">
        <v>106</v>
      </c>
      <c r="B93" s="1" t="s">
        <v>306</v>
      </c>
      <c r="C93" s="1" t="s">
        <v>8</v>
      </c>
      <c r="D93" s="1">
        <v>54000</v>
      </c>
      <c r="E93" s="2">
        <v>42952</v>
      </c>
      <c r="F93" s="1" t="str">
        <f>INDEX('Sheet5 (2)'!$A$1:$A$201,MATCH(A93,'Sheet5 (2)'!$D$1:$D$201,0))</f>
        <v>2 Aberdeen Bazaar</v>
      </c>
      <c r="G93" s="1" t="str">
        <f>INDEX('Sheet5 (2)'!$B$1:$B$201,MATCH(A93,'Sheet5 (2)'!$D$1:$D$201,0))</f>
        <v xml:space="preserve"> Port Blair</v>
      </c>
      <c r="H93" s="1" t="str">
        <f>INDEX('Sheet5 (2)'!$C$1:$C$201,MATCH(Table3[[#This Row],[EmpID]],'Sheet5 (2)'!$D$1:$D$201,0))</f>
        <v xml:space="preserve"> Andaman and Nicobar Islands</v>
      </c>
      <c r="I93" s="7"/>
    </row>
    <row r="94" spans="1:9" x14ac:dyDescent="0.3">
      <c r="A94" s="6" t="s">
        <v>107</v>
      </c>
      <c r="B94" s="1" t="s">
        <v>307</v>
      </c>
      <c r="C94" s="1" t="s">
        <v>10</v>
      </c>
      <c r="D94" s="1">
        <v>47000</v>
      </c>
      <c r="E94" s="2">
        <v>44467</v>
      </c>
      <c r="F94" s="1" t="str">
        <f>INDEX('Sheet5 (2)'!$A$1:$A$201,MATCH(A94,'Sheet5 (2)'!$D$1:$D$201,0))</f>
        <v>28 MG Road</v>
      </c>
      <c r="G94" s="1" t="str">
        <f>INDEX('Sheet5 (2)'!$B$1:$B$201,MATCH(A94,'Sheet5 (2)'!$D$1:$D$201,0))</f>
        <v xml:space="preserve"> New Delhi</v>
      </c>
      <c r="H94" s="1" t="str">
        <f>INDEX('Sheet5 (2)'!$C$1:$C$201,MATCH(Table3[[#This Row],[EmpID]],'Sheet5 (2)'!$D$1:$D$201,0))</f>
        <v xml:space="preserve"> Delhi</v>
      </c>
      <c r="I94" s="7"/>
    </row>
    <row r="95" spans="1:9" x14ac:dyDescent="0.3">
      <c r="A95" s="6" t="s">
        <v>108</v>
      </c>
      <c r="B95" s="1" t="s">
        <v>308</v>
      </c>
      <c r="C95" s="1" t="s">
        <v>12</v>
      </c>
      <c r="D95" s="1">
        <v>90000</v>
      </c>
      <c r="E95" s="2">
        <v>42502</v>
      </c>
      <c r="F95" s="1" t="str">
        <f>INDEX('Sheet5 (2)'!$A$1:$A$201,MATCH(A95,'Sheet5 (2)'!$D$1:$D$201,0))</f>
        <v>33 Park Street</v>
      </c>
      <c r="G95" s="1" t="str">
        <f>INDEX('Sheet5 (2)'!$B$1:$B$201,MATCH(A95,'Sheet5 (2)'!$D$1:$D$201,0))</f>
        <v xml:space="preserve"> Kolkata</v>
      </c>
      <c r="H95" s="1" t="str">
        <f>INDEX('Sheet5 (2)'!$C$1:$C$201,MATCH(Table3[[#This Row],[EmpID]],'Sheet5 (2)'!$D$1:$D$201,0))</f>
        <v xml:space="preserve"> West Bengal</v>
      </c>
      <c r="I95" s="7"/>
    </row>
    <row r="96" spans="1:9" x14ac:dyDescent="0.3">
      <c r="A96" s="6" t="s">
        <v>109</v>
      </c>
      <c r="B96" s="1" t="s">
        <v>309</v>
      </c>
      <c r="C96" s="1" t="s">
        <v>14</v>
      </c>
      <c r="D96" s="1">
        <v>62000</v>
      </c>
      <c r="E96" s="2">
        <v>43820</v>
      </c>
      <c r="F96" s="1" t="str">
        <f>INDEX('Sheet5 (2)'!$A$1:$A$201,MATCH(A96,'Sheet5 (2)'!$D$1:$D$201,0))</f>
        <v>7 Brigade Road</v>
      </c>
      <c r="G96" s="1" t="str">
        <f>INDEX('Sheet5 (2)'!$B$1:$B$201,MATCH(A96,'Sheet5 (2)'!$D$1:$D$201,0))</f>
        <v xml:space="preserve"> Bangalore</v>
      </c>
      <c r="H96" s="1" t="str">
        <f>INDEX('Sheet5 (2)'!$C$1:$C$201,MATCH(Table3[[#This Row],[EmpID]],'Sheet5 (2)'!$D$1:$D$201,0))</f>
        <v xml:space="preserve"> Karnataka</v>
      </c>
      <c r="I96" s="7"/>
    </row>
    <row r="97" spans="1:9" x14ac:dyDescent="0.3">
      <c r="A97" s="6" t="s">
        <v>110</v>
      </c>
      <c r="B97" s="1" t="s">
        <v>310</v>
      </c>
      <c r="C97" s="1" t="s">
        <v>16</v>
      </c>
      <c r="D97" s="1">
        <v>73000</v>
      </c>
      <c r="E97" s="2">
        <v>43927</v>
      </c>
      <c r="F97" s="1" t="str">
        <f>INDEX('Sheet5 (2)'!$A$1:$A$201,MATCH(A97,'Sheet5 (2)'!$D$1:$D$201,0))</f>
        <v>44 Anna Salai</v>
      </c>
      <c r="G97" s="1" t="str">
        <f>INDEX('Sheet5 (2)'!$B$1:$B$201,MATCH(A97,'Sheet5 (2)'!$D$1:$D$201,0))</f>
        <v xml:space="preserve"> Chennai</v>
      </c>
      <c r="H97" s="1" t="str">
        <f>INDEX('Sheet5 (2)'!$C$1:$C$201,MATCH(Table3[[#This Row],[EmpID]],'Sheet5 (2)'!$D$1:$D$201,0))</f>
        <v xml:space="preserve"> Tamil Nadu</v>
      </c>
      <c r="I97" s="7"/>
    </row>
    <row r="98" spans="1:9" x14ac:dyDescent="0.3">
      <c r="A98" s="6" t="s">
        <v>111</v>
      </c>
      <c r="B98" s="1" t="s">
        <v>311</v>
      </c>
      <c r="C98" s="1" t="s">
        <v>18</v>
      </c>
      <c r="D98" s="1">
        <v>56000</v>
      </c>
      <c r="E98" s="2">
        <v>42210</v>
      </c>
      <c r="F98" s="1" t="str">
        <f>INDEX('Sheet5 (2)'!$A$1:$A$201,MATCH(A98,'Sheet5 (2)'!$D$1:$D$201,0))</f>
        <v>66 Marine Drive</v>
      </c>
      <c r="G98" s="1" t="str">
        <f>INDEX('Sheet5 (2)'!$B$1:$B$201,MATCH(A98,'Sheet5 (2)'!$D$1:$D$201,0))</f>
        <v xml:space="preserve"> Mumbai</v>
      </c>
      <c r="H98" s="1" t="str">
        <f>INDEX('Sheet5 (2)'!$C$1:$C$201,MATCH(Table3[[#This Row],[EmpID]],'Sheet5 (2)'!$D$1:$D$201,0))</f>
        <v xml:space="preserve"> Maharashtra</v>
      </c>
      <c r="I98" s="7"/>
    </row>
    <row r="99" spans="1:9" x14ac:dyDescent="0.3">
      <c r="A99" s="6" t="s">
        <v>112</v>
      </c>
      <c r="B99" s="1" t="s">
        <v>312</v>
      </c>
      <c r="C99" s="1" t="s">
        <v>20</v>
      </c>
      <c r="D99" s="1">
        <v>67000</v>
      </c>
      <c r="E99" s="2">
        <v>43373</v>
      </c>
      <c r="F99" s="1" t="str">
        <f>INDEX('Sheet5 (2)'!$A$1:$A$201,MATCH(A99,'Sheet5 (2)'!$D$1:$D$201,0))</f>
        <v>12 Koregaon Park</v>
      </c>
      <c r="G99" s="1" t="str">
        <f>INDEX('Sheet5 (2)'!$B$1:$B$201,MATCH(A99,'Sheet5 (2)'!$D$1:$D$201,0))</f>
        <v xml:space="preserve"> Pune</v>
      </c>
      <c r="H99" s="1" t="str">
        <f>INDEX('Sheet5 (2)'!$C$1:$C$201,MATCH(Table3[[#This Row],[EmpID]],'Sheet5 (2)'!$D$1:$D$201,0))</f>
        <v xml:space="preserve"> Maharashtra</v>
      </c>
      <c r="I99" s="7"/>
    </row>
    <row r="100" spans="1:9" x14ac:dyDescent="0.3">
      <c r="A100" s="6" t="s">
        <v>113</v>
      </c>
      <c r="B100" s="1" t="s">
        <v>313</v>
      </c>
      <c r="C100" s="1" t="s">
        <v>22</v>
      </c>
      <c r="D100" s="1">
        <v>71000</v>
      </c>
      <c r="E100" s="2">
        <v>44606</v>
      </c>
      <c r="F100" s="1" t="str">
        <f>INDEX('Sheet5 (2)'!$A$1:$A$201,MATCH(A100,'Sheet5 (2)'!$D$1:$D$201,0))</f>
        <v>9 Banjara Hills</v>
      </c>
      <c r="G100" s="1" t="str">
        <f>INDEX('Sheet5 (2)'!$B$1:$B$201,MATCH(A100,'Sheet5 (2)'!$D$1:$D$201,0))</f>
        <v xml:space="preserve"> Hyderabad</v>
      </c>
      <c r="H100" s="1" t="str">
        <f>INDEX('Sheet5 (2)'!$C$1:$C$201,MATCH(Table3[[#This Row],[EmpID]],'Sheet5 (2)'!$D$1:$D$201,0))</f>
        <v xml:space="preserve"> Telangana</v>
      </c>
      <c r="I100" s="7"/>
    </row>
    <row r="101" spans="1:9" x14ac:dyDescent="0.3">
      <c r="A101" s="6" t="s">
        <v>114</v>
      </c>
      <c r="B101" s="1" t="s">
        <v>314</v>
      </c>
      <c r="C101" s="1" t="s">
        <v>24</v>
      </c>
      <c r="D101" s="1">
        <v>64000</v>
      </c>
      <c r="E101" s="2">
        <v>42887</v>
      </c>
      <c r="F101" s="1" t="str">
        <f>INDEX('Sheet5 (2)'!$A$1:$A$201,MATCH(A101,'Sheet5 (2)'!$D$1:$D$201,0))</f>
        <v>5 SG Highway</v>
      </c>
      <c r="G101" s="1" t="str">
        <f>INDEX('Sheet5 (2)'!$B$1:$B$201,MATCH(A101,'Sheet5 (2)'!$D$1:$D$201,0))</f>
        <v xml:space="preserve"> Ahmedabad</v>
      </c>
      <c r="H101" s="1" t="str">
        <f>INDEX('Sheet5 (2)'!$C$1:$C$201,MATCH(Table3[[#This Row],[EmpID]],'Sheet5 (2)'!$D$1:$D$201,0))</f>
        <v xml:space="preserve"> Gujarat</v>
      </c>
      <c r="I101" s="7"/>
    </row>
    <row r="102" spans="1:9" x14ac:dyDescent="0.3">
      <c r="A102" s="6" t="s">
        <v>115</v>
      </c>
      <c r="B102" s="1" t="s">
        <v>315</v>
      </c>
      <c r="C102" s="1" t="s">
        <v>6</v>
      </c>
      <c r="D102" s="1">
        <v>52000</v>
      </c>
      <c r="E102" s="2">
        <v>43717</v>
      </c>
      <c r="F102" s="1" t="str">
        <f>INDEX('Sheet5 (2)'!$A$1:$A$201,MATCH(A102,'Sheet5 (2)'!$D$1:$D$201,0))</f>
        <v>21 Hazratganj</v>
      </c>
      <c r="G102" s="1" t="str">
        <f>INDEX('Sheet5 (2)'!$B$1:$B$201,MATCH(A102,'Sheet5 (2)'!$D$1:$D$201,0))</f>
        <v xml:space="preserve"> Lucknow</v>
      </c>
      <c r="H102" s="1" t="str">
        <f>INDEX('Sheet5 (2)'!$C$1:$C$201,MATCH(Table3[[#This Row],[EmpID]],'Sheet5 (2)'!$D$1:$D$201,0))</f>
        <v xml:space="preserve"> Uttar Pradesh</v>
      </c>
      <c r="I102" s="7"/>
    </row>
    <row r="103" spans="1:9" x14ac:dyDescent="0.3">
      <c r="A103" s="6" t="s">
        <v>116</v>
      </c>
      <c r="B103" s="1" t="s">
        <v>316</v>
      </c>
      <c r="C103" s="1" t="s">
        <v>8</v>
      </c>
      <c r="D103" s="1">
        <v>48000</v>
      </c>
      <c r="E103" s="2">
        <v>43848</v>
      </c>
      <c r="F103" s="1" t="str">
        <f>INDEX('Sheet5 (2)'!$A$1:$A$201,MATCH(A103,'Sheet5 (2)'!$D$1:$D$201,0))</f>
        <v>14 MI Road</v>
      </c>
      <c r="G103" s="1" t="str">
        <f>INDEX('Sheet5 (2)'!$B$1:$B$201,MATCH(A103,'Sheet5 (2)'!$D$1:$D$201,0))</f>
        <v xml:space="preserve"> Jaipur</v>
      </c>
      <c r="H103" s="1" t="str">
        <f>INDEX('Sheet5 (2)'!$C$1:$C$201,MATCH(Table3[[#This Row],[EmpID]],'Sheet5 (2)'!$D$1:$D$201,0))</f>
        <v xml:space="preserve"> Rajasthan</v>
      </c>
      <c r="I103" s="7"/>
    </row>
    <row r="104" spans="1:9" x14ac:dyDescent="0.3">
      <c r="A104" s="6" t="s">
        <v>117</v>
      </c>
      <c r="B104" s="1" t="s">
        <v>317</v>
      </c>
      <c r="C104" s="1" t="s">
        <v>10</v>
      </c>
      <c r="D104" s="1">
        <v>75000</v>
      </c>
      <c r="E104" s="2">
        <v>43258</v>
      </c>
      <c r="F104" s="1" t="str">
        <f>INDEX('Sheet5 (2)'!$A$1:$A$201,MATCH(A104,'Sheet5 (2)'!$D$1:$D$201,0))</f>
        <v>8 Sector 17</v>
      </c>
      <c r="G104" s="1" t="str">
        <f>INDEX('Sheet5 (2)'!$B$1:$B$201,MATCH(A104,'Sheet5 (2)'!$D$1:$D$201,0))</f>
        <v xml:space="preserve"> Chandigarh</v>
      </c>
      <c r="H104" s="1" t="str">
        <f>INDEX('Sheet5 (2)'!$C$1:$C$201,MATCH(Table3[[#This Row],[EmpID]],'Sheet5 (2)'!$D$1:$D$201,0))</f>
        <v xml:space="preserve"> Chandigarh</v>
      </c>
      <c r="I104" s="7"/>
    </row>
    <row r="105" spans="1:9" x14ac:dyDescent="0.3">
      <c r="A105" s="6" t="s">
        <v>118</v>
      </c>
      <c r="B105" s="1" t="s">
        <v>318</v>
      </c>
      <c r="C105" s="1" t="s">
        <v>12</v>
      </c>
      <c r="D105" s="1">
        <v>61000</v>
      </c>
      <c r="E105" s="2">
        <v>44280</v>
      </c>
      <c r="F105" s="1" t="str">
        <f>INDEX('Sheet5 (2)'!$A$1:$A$201,MATCH(A105,'Sheet5 (2)'!$D$1:$D$201,0))</f>
        <v>20 Udyog Vihar</v>
      </c>
      <c r="G105" s="1" t="str">
        <f>INDEX('Sheet5 (2)'!$B$1:$B$201,MATCH(A105,'Sheet5 (2)'!$D$1:$D$201,0))</f>
        <v xml:space="preserve"> Gurgaon</v>
      </c>
      <c r="H105" s="1" t="str">
        <f>INDEX('Sheet5 (2)'!$C$1:$C$201,MATCH(Table3[[#This Row],[EmpID]],'Sheet5 (2)'!$D$1:$D$201,0))</f>
        <v xml:space="preserve"> Haryana</v>
      </c>
      <c r="I105" s="7"/>
    </row>
    <row r="106" spans="1:9" x14ac:dyDescent="0.3">
      <c r="A106" s="6" t="s">
        <v>119</v>
      </c>
      <c r="B106" s="1" t="s">
        <v>319</v>
      </c>
      <c r="C106" s="1" t="s">
        <v>14</v>
      </c>
      <c r="D106" s="1">
        <v>69000</v>
      </c>
      <c r="E106" s="2">
        <v>43010</v>
      </c>
      <c r="F106" s="1" t="str">
        <f>INDEX('Sheet5 (2)'!$A$1:$A$201,MATCH(A106,'Sheet5 (2)'!$D$1:$D$201,0))</f>
        <v>11 Sector 18</v>
      </c>
      <c r="G106" s="1" t="str">
        <f>INDEX('Sheet5 (2)'!$B$1:$B$201,MATCH(A106,'Sheet5 (2)'!$D$1:$D$201,0))</f>
        <v xml:space="preserve"> Noida</v>
      </c>
      <c r="H106" s="1" t="str">
        <f>INDEX('Sheet5 (2)'!$C$1:$C$201,MATCH(Table3[[#This Row],[EmpID]],'Sheet5 (2)'!$D$1:$D$201,0))</f>
        <v xml:space="preserve"> Uttar Pradesh</v>
      </c>
      <c r="I106" s="7"/>
    </row>
    <row r="107" spans="1:9" x14ac:dyDescent="0.3">
      <c r="A107" s="6" t="s">
        <v>120</v>
      </c>
      <c r="B107" s="1" t="s">
        <v>320</v>
      </c>
      <c r="C107" s="1" t="s">
        <v>16</v>
      </c>
      <c r="D107" s="1">
        <v>72000</v>
      </c>
      <c r="E107" s="2">
        <v>44758</v>
      </c>
      <c r="F107" s="1" t="str">
        <f>INDEX('Sheet5 (2)'!$A$1:$A$201,MATCH(A107,'Sheet5 (2)'!$D$1:$D$201,0))</f>
        <v>6 Raj Nagar</v>
      </c>
      <c r="G107" s="1" t="str">
        <f>INDEX('Sheet5 (2)'!$B$1:$B$201,MATCH(A107,'Sheet5 (2)'!$D$1:$D$201,0))</f>
        <v xml:space="preserve"> Ghaziabad</v>
      </c>
      <c r="H107" s="1" t="str">
        <f>INDEX('Sheet5 (2)'!$C$1:$C$201,MATCH(Table3[[#This Row],[EmpID]],'Sheet5 (2)'!$D$1:$D$201,0))</f>
        <v xml:space="preserve"> Uttar Pradesh</v>
      </c>
      <c r="I107" s="7"/>
    </row>
    <row r="108" spans="1:9" x14ac:dyDescent="0.3">
      <c r="A108" s="6" t="s">
        <v>121</v>
      </c>
      <c r="B108" s="1" t="s">
        <v>321</v>
      </c>
      <c r="C108" s="1" t="s">
        <v>18</v>
      </c>
      <c r="D108" s="1">
        <v>50000</v>
      </c>
      <c r="E108" s="2">
        <v>43523</v>
      </c>
      <c r="F108" s="1" t="str">
        <f>INDEX('Sheet5 (2)'!$A$1:$A$201,MATCH(A108,'Sheet5 (2)'!$D$1:$D$201,0))</f>
        <v>3 Indirapuram</v>
      </c>
      <c r="G108" s="1" t="str">
        <f>INDEX('Sheet5 (2)'!$B$1:$B$201,MATCH(A108,'Sheet5 (2)'!$D$1:$D$201,0))</f>
        <v xml:space="preserve"> Ghaziabad</v>
      </c>
      <c r="H108" s="1" t="str">
        <f>INDEX('Sheet5 (2)'!$C$1:$C$201,MATCH(Table3[[#This Row],[EmpID]],'Sheet5 (2)'!$D$1:$D$201,0))</f>
        <v xml:space="preserve"> Uttar Pradesh</v>
      </c>
      <c r="I108" s="7"/>
    </row>
    <row r="109" spans="1:9" x14ac:dyDescent="0.3">
      <c r="A109" s="6" t="s">
        <v>122</v>
      </c>
      <c r="B109" s="1" t="s">
        <v>322</v>
      </c>
      <c r="C109" s="1" t="s">
        <v>20</v>
      </c>
      <c r="D109" s="1">
        <v>66000</v>
      </c>
      <c r="E109" s="2">
        <v>43955</v>
      </c>
      <c r="F109" s="1" t="str">
        <f>INDEX('Sheet5 (2)'!$A$1:$A$201,MATCH(A109,'Sheet5 (2)'!$D$1:$D$201,0))</f>
        <v>17 Swaroop Nagar</v>
      </c>
      <c r="G109" s="1" t="str">
        <f>INDEX('Sheet5 (2)'!$B$1:$B$201,MATCH(A109,'Sheet5 (2)'!$D$1:$D$201,0))</f>
        <v xml:space="preserve"> Kanpur</v>
      </c>
      <c r="H109" s="1" t="str">
        <f>INDEX('Sheet5 (2)'!$C$1:$C$201,MATCH(Table3[[#This Row],[EmpID]],'Sheet5 (2)'!$D$1:$D$201,0))</f>
        <v xml:space="preserve"> Uttar Pradesh</v>
      </c>
      <c r="I109" s="7"/>
    </row>
    <row r="110" spans="1:9" x14ac:dyDescent="0.3">
      <c r="A110" s="6" t="s">
        <v>123</v>
      </c>
      <c r="B110" s="1" t="s">
        <v>323</v>
      </c>
      <c r="C110" s="1" t="s">
        <v>22</v>
      </c>
      <c r="D110" s="1">
        <v>58000</v>
      </c>
      <c r="E110" s="2">
        <v>42380</v>
      </c>
      <c r="F110" s="1" t="str">
        <f>INDEX('Sheet5 (2)'!$A$1:$A$201,MATCH(A110,'Sheet5 (2)'!$D$1:$D$201,0))</f>
        <v>9 Athwagate</v>
      </c>
      <c r="G110" s="1" t="str">
        <f>INDEX('Sheet5 (2)'!$B$1:$B$201,MATCH(A110,'Sheet5 (2)'!$D$1:$D$201,0))</f>
        <v xml:space="preserve"> Surat</v>
      </c>
      <c r="H110" s="1" t="str">
        <f>INDEX('Sheet5 (2)'!$C$1:$C$201,MATCH(Table3[[#This Row],[EmpID]],'Sheet5 (2)'!$D$1:$D$201,0))</f>
        <v xml:space="preserve"> Gujarat</v>
      </c>
      <c r="I110" s="7"/>
    </row>
    <row r="111" spans="1:9" x14ac:dyDescent="0.3">
      <c r="A111" s="6" t="s">
        <v>124</v>
      </c>
      <c r="B111" s="1" t="s">
        <v>324</v>
      </c>
      <c r="C111" s="1" t="s">
        <v>24</v>
      </c>
      <c r="D111" s="1">
        <v>45000</v>
      </c>
      <c r="E111" s="2">
        <v>42328</v>
      </c>
      <c r="F111" s="1" t="str">
        <f>INDEX('Sheet5 (2)'!$A$1:$A$201,MATCH(A111,'Sheet5 (2)'!$D$1:$D$201,0))</f>
        <v>2 Sama Road</v>
      </c>
      <c r="G111" s="1" t="str">
        <f>INDEX('Sheet5 (2)'!$B$1:$B$201,MATCH(A111,'Sheet5 (2)'!$D$1:$D$201,0))</f>
        <v xml:space="preserve"> Vadodara</v>
      </c>
      <c r="H111" s="1" t="str">
        <f>INDEX('Sheet5 (2)'!$C$1:$C$201,MATCH(Table3[[#This Row],[EmpID]],'Sheet5 (2)'!$D$1:$D$201,0))</f>
        <v xml:space="preserve"> Gujarat</v>
      </c>
      <c r="I111" s="7"/>
    </row>
    <row r="112" spans="1:9" x14ac:dyDescent="0.3">
      <c r="A112" s="6" t="s">
        <v>125</v>
      </c>
      <c r="B112" s="1" t="s">
        <v>325</v>
      </c>
      <c r="C112" s="1" t="s">
        <v>6</v>
      </c>
      <c r="D112" s="1">
        <v>80000</v>
      </c>
      <c r="E112" s="2">
        <v>43433</v>
      </c>
      <c r="F112" s="1" t="str">
        <f>INDEX('Sheet5 (2)'!$A$1:$A$201,MATCH(A112,'Sheet5 (2)'!$D$1:$D$201,0))</f>
        <v>12 Arera Hills</v>
      </c>
      <c r="G112" s="1" t="str">
        <f>INDEX('Sheet5 (2)'!$B$1:$B$201,MATCH(A112,'Sheet5 (2)'!$D$1:$D$201,0))</f>
        <v xml:space="preserve"> Bhopal</v>
      </c>
      <c r="H112" s="1" t="str">
        <f>INDEX('Sheet5 (2)'!$C$1:$C$201,MATCH(Table3[[#This Row],[EmpID]],'Sheet5 (2)'!$D$1:$D$201,0))</f>
        <v xml:space="preserve"> Madhya Pradesh</v>
      </c>
      <c r="I112" s="7"/>
    </row>
    <row r="113" spans="1:9" x14ac:dyDescent="0.3">
      <c r="A113" s="6" t="s">
        <v>126</v>
      </c>
      <c r="B113" s="1" t="s">
        <v>326</v>
      </c>
      <c r="C113" s="1" t="s">
        <v>8</v>
      </c>
      <c r="D113" s="1">
        <v>54000</v>
      </c>
      <c r="E113" s="2">
        <v>42780</v>
      </c>
      <c r="F113" s="1" t="str">
        <f>INDEX('Sheet5 (2)'!$A$1:$A$201,MATCH(A113,'Sheet5 (2)'!$D$1:$D$201,0))</f>
        <v>5 MR10 Road</v>
      </c>
      <c r="G113" s="1" t="str">
        <f>INDEX('Sheet5 (2)'!$B$1:$B$201,MATCH(A113,'Sheet5 (2)'!$D$1:$D$201,0))</f>
        <v xml:space="preserve"> Indore</v>
      </c>
      <c r="H113" s="1" t="str">
        <f>INDEX('Sheet5 (2)'!$C$1:$C$201,MATCH(Table3[[#This Row],[EmpID]],'Sheet5 (2)'!$D$1:$D$201,0))</f>
        <v xml:space="preserve"> Madhya Pradesh</v>
      </c>
      <c r="I113" s="7"/>
    </row>
    <row r="114" spans="1:9" x14ac:dyDescent="0.3">
      <c r="A114" s="6" t="s">
        <v>127</v>
      </c>
      <c r="B114" s="1" t="s">
        <v>327</v>
      </c>
      <c r="C114" s="1" t="s">
        <v>10</v>
      </c>
      <c r="D114" s="1">
        <v>47000</v>
      </c>
      <c r="E114" s="2">
        <v>44411</v>
      </c>
      <c r="F114" s="1" t="str">
        <f>INDEX('Sheet5 (2)'!$A$1:$A$201,MATCH(A114,'Sheet5 (2)'!$D$1:$D$201,0))</f>
        <v>18 Bailey Road</v>
      </c>
      <c r="G114" s="1" t="str">
        <f>INDEX('Sheet5 (2)'!$B$1:$B$201,MATCH(A114,'Sheet5 (2)'!$D$1:$D$201,0))</f>
        <v xml:space="preserve"> Patna</v>
      </c>
      <c r="H114" s="1" t="str">
        <f>INDEX('Sheet5 (2)'!$C$1:$C$201,MATCH(Table3[[#This Row],[EmpID]],'Sheet5 (2)'!$D$1:$D$201,0))</f>
        <v xml:space="preserve"> Bihar</v>
      </c>
      <c r="I114" s="7"/>
    </row>
    <row r="115" spans="1:9" x14ac:dyDescent="0.3">
      <c r="A115" s="6" t="s">
        <v>128</v>
      </c>
      <c r="B115" s="1" t="s">
        <v>328</v>
      </c>
      <c r="C115" s="1" t="s">
        <v>12</v>
      </c>
      <c r="D115" s="1">
        <v>90000</v>
      </c>
      <c r="E115" s="2">
        <v>42451</v>
      </c>
      <c r="F115" s="1" t="str">
        <f>INDEX('Sheet5 (2)'!$A$1:$A$201,MATCH(A115,'Sheet5 (2)'!$D$1:$D$201,0))</f>
        <v>7 Doranda Road</v>
      </c>
      <c r="G115" s="1" t="str">
        <f>INDEX('Sheet5 (2)'!$B$1:$B$201,MATCH(A115,'Sheet5 (2)'!$D$1:$D$201,0))</f>
        <v xml:space="preserve"> Ranchi</v>
      </c>
      <c r="H115" s="1" t="str">
        <f>INDEX('Sheet5 (2)'!$C$1:$C$201,MATCH(Table3[[#This Row],[EmpID]],'Sheet5 (2)'!$D$1:$D$201,0))</f>
        <v xml:space="preserve"> Jharkhand</v>
      </c>
      <c r="I115" s="7"/>
    </row>
    <row r="116" spans="1:9" x14ac:dyDescent="0.3">
      <c r="A116" s="6" t="s">
        <v>129</v>
      </c>
      <c r="B116" s="1" t="s">
        <v>329</v>
      </c>
      <c r="C116" s="1" t="s">
        <v>14</v>
      </c>
      <c r="D116" s="1">
        <v>62000</v>
      </c>
      <c r="E116" s="2">
        <v>43496</v>
      </c>
      <c r="F116" s="1" t="str">
        <f>INDEX('Sheet5 (2)'!$A$1:$A$201,MATCH(A116,'Sheet5 (2)'!$D$1:$D$201,0))</f>
        <v>4 Rasulgarh</v>
      </c>
      <c r="G116" s="1" t="str">
        <f>INDEX('Sheet5 (2)'!$B$1:$B$201,MATCH(A116,'Sheet5 (2)'!$D$1:$D$201,0))</f>
        <v xml:space="preserve"> Bhubaneswar</v>
      </c>
      <c r="H116" s="1" t="str">
        <f>INDEX('Sheet5 (2)'!$C$1:$C$201,MATCH(Table3[[#This Row],[EmpID]],'Sheet5 (2)'!$D$1:$D$201,0))</f>
        <v xml:space="preserve"> Odisha</v>
      </c>
      <c r="I116" s="7"/>
    </row>
    <row r="117" spans="1:9" x14ac:dyDescent="0.3">
      <c r="A117" s="6" t="s">
        <v>130</v>
      </c>
      <c r="B117" s="1" t="s">
        <v>330</v>
      </c>
      <c r="C117" s="1" t="s">
        <v>16</v>
      </c>
      <c r="D117" s="1">
        <v>73000</v>
      </c>
      <c r="E117" s="2">
        <v>44086</v>
      </c>
      <c r="F117" s="1" t="str">
        <f>INDEX('Sheet5 (2)'!$A$1:$A$201,MATCH(A117,'Sheet5 (2)'!$D$1:$D$201,0))</f>
        <v>10 Gandhipuram</v>
      </c>
      <c r="G117" s="1" t="str">
        <f>INDEX('Sheet5 (2)'!$B$1:$B$201,MATCH(A117,'Sheet5 (2)'!$D$1:$D$201,0))</f>
        <v xml:space="preserve"> Coimbatore</v>
      </c>
      <c r="H117" s="1" t="str">
        <f>INDEX('Sheet5 (2)'!$C$1:$C$201,MATCH(Table3[[#This Row],[EmpID]],'Sheet5 (2)'!$D$1:$D$201,0))</f>
        <v xml:space="preserve"> Tamil Nadu</v>
      </c>
      <c r="I117" s="7"/>
    </row>
    <row r="118" spans="1:9" x14ac:dyDescent="0.3">
      <c r="A118" s="6" t="s">
        <v>131</v>
      </c>
      <c r="B118" s="1" t="s">
        <v>331</v>
      </c>
      <c r="C118" s="1" t="s">
        <v>18</v>
      </c>
      <c r="D118" s="1">
        <v>56000</v>
      </c>
      <c r="E118" s="2">
        <v>42125</v>
      </c>
      <c r="F118" s="1" t="str">
        <f>INDEX('Sheet5 (2)'!$A$1:$A$201,MATCH(A118,'Sheet5 (2)'!$D$1:$D$201,0))</f>
        <v>6 Fort Kochi</v>
      </c>
      <c r="G118" s="1" t="str">
        <f>INDEX('Sheet5 (2)'!$B$1:$B$201,MATCH(A118,'Sheet5 (2)'!$D$1:$D$201,0))</f>
        <v xml:space="preserve"> Kochi</v>
      </c>
      <c r="H118" s="1" t="str">
        <f>INDEX('Sheet5 (2)'!$C$1:$C$201,MATCH(Table3[[#This Row],[EmpID]],'Sheet5 (2)'!$D$1:$D$201,0))</f>
        <v xml:space="preserve"> Kerala</v>
      </c>
      <c r="I118" s="7"/>
    </row>
    <row r="119" spans="1:9" x14ac:dyDescent="0.3">
      <c r="A119" s="6" t="s">
        <v>132</v>
      </c>
      <c r="B119" s="1" t="s">
        <v>332</v>
      </c>
      <c r="C119" s="1" t="s">
        <v>20</v>
      </c>
      <c r="D119" s="1">
        <v>67000</v>
      </c>
      <c r="E119" s="2">
        <v>43393</v>
      </c>
      <c r="F119" s="1" t="str">
        <f>INDEX('Sheet5 (2)'!$A$1:$A$201,MATCH(A119,'Sheet5 (2)'!$D$1:$D$201,0))</f>
        <v>21 Pattom</v>
      </c>
      <c r="G119" s="1" t="str">
        <f>INDEX('Sheet5 (2)'!$B$1:$B$201,MATCH(A119,'Sheet5 (2)'!$D$1:$D$201,0))</f>
        <v xml:space="preserve"> Thiruvananthapuram</v>
      </c>
      <c r="H119" s="1" t="str">
        <f>INDEX('Sheet5 (2)'!$C$1:$C$201,MATCH(Table3[[#This Row],[EmpID]],'Sheet5 (2)'!$D$1:$D$201,0))</f>
        <v xml:space="preserve"> Kerala</v>
      </c>
      <c r="I119" s="7"/>
    </row>
    <row r="120" spans="1:9" x14ac:dyDescent="0.3">
      <c r="A120" s="6" t="s">
        <v>133</v>
      </c>
      <c r="B120" s="1" t="s">
        <v>333</v>
      </c>
      <c r="C120" s="1" t="s">
        <v>22</v>
      </c>
      <c r="D120" s="1">
        <v>71000</v>
      </c>
      <c r="E120" s="2">
        <v>44872</v>
      </c>
      <c r="F120" s="1" t="str">
        <f>INDEX('Sheet5 (2)'!$A$1:$A$201,MATCH(A120,'Sheet5 (2)'!$D$1:$D$201,0))</f>
        <v>8 Nazarbad Road</v>
      </c>
      <c r="G120" s="1" t="str">
        <f>INDEX('Sheet5 (2)'!$B$1:$B$201,MATCH(A120,'Sheet5 (2)'!$D$1:$D$201,0))</f>
        <v xml:space="preserve"> Mysore</v>
      </c>
      <c r="H120" s="1" t="str">
        <f>INDEX('Sheet5 (2)'!$C$1:$C$201,MATCH(Table3[[#This Row],[EmpID]],'Sheet5 (2)'!$D$1:$D$201,0))</f>
        <v xml:space="preserve"> Karnataka</v>
      </c>
      <c r="I120" s="7"/>
    </row>
    <row r="121" spans="1:9" x14ac:dyDescent="0.3">
      <c r="A121" s="6" t="s">
        <v>134</v>
      </c>
      <c r="B121" s="1" t="s">
        <v>334</v>
      </c>
      <c r="C121" s="1" t="s">
        <v>24</v>
      </c>
      <c r="D121" s="1">
        <v>64000</v>
      </c>
      <c r="E121" s="2">
        <v>42851</v>
      </c>
      <c r="F121" s="1" t="str">
        <f>INDEX('Sheet5 (2)'!$A$1:$A$201,MATCH(A121,'Sheet5 (2)'!$D$1:$D$201,0))</f>
        <v>14 Dharampeth</v>
      </c>
      <c r="G121" s="1" t="str">
        <f>INDEX('Sheet5 (2)'!$B$1:$B$201,MATCH(A121,'Sheet5 (2)'!$D$1:$D$201,0))</f>
        <v xml:space="preserve"> Nagpur</v>
      </c>
      <c r="H121" s="1" t="str">
        <f>INDEX('Sheet5 (2)'!$C$1:$C$201,MATCH(Table3[[#This Row],[EmpID]],'Sheet5 (2)'!$D$1:$D$201,0))</f>
        <v xml:space="preserve"> Maharashtra</v>
      </c>
      <c r="I121" s="7"/>
    </row>
    <row r="122" spans="1:9" x14ac:dyDescent="0.3">
      <c r="A122" s="6" t="s">
        <v>135</v>
      </c>
      <c r="B122" s="1" t="s">
        <v>335</v>
      </c>
      <c r="C122" s="1" t="s">
        <v>6</v>
      </c>
      <c r="D122" s="1">
        <v>52000</v>
      </c>
      <c r="E122" s="2">
        <v>43784</v>
      </c>
      <c r="F122" s="1" t="str">
        <f>INDEX('Sheet5 (2)'!$A$1:$A$201,MATCH(A122,'Sheet5 (2)'!$D$1:$D$201,0))</f>
        <v>3 College Road</v>
      </c>
      <c r="G122" s="1" t="str">
        <f>INDEX('Sheet5 (2)'!$B$1:$B$201,MATCH(A122,'Sheet5 (2)'!$D$1:$D$201,0))</f>
        <v xml:space="preserve"> Nashik</v>
      </c>
      <c r="H122" s="1" t="str">
        <f>INDEX('Sheet5 (2)'!$C$1:$C$201,MATCH(Table3[[#This Row],[EmpID]],'Sheet5 (2)'!$D$1:$D$201,0))</f>
        <v xml:space="preserve"> Maharashtra</v>
      </c>
      <c r="I122" s="7"/>
    </row>
    <row r="123" spans="1:9" x14ac:dyDescent="0.3">
      <c r="A123" s="6" t="s">
        <v>136</v>
      </c>
      <c r="B123" s="1" t="s">
        <v>336</v>
      </c>
      <c r="C123" s="1" t="s">
        <v>8</v>
      </c>
      <c r="D123" s="1">
        <v>48000</v>
      </c>
      <c r="E123" s="2">
        <v>44072</v>
      </c>
      <c r="F123" s="1" t="str">
        <f>INDEX('Sheet5 (2)'!$A$1:$A$201,MATCH(A123,'Sheet5 (2)'!$D$1:$D$201,0))</f>
        <v>11 Sardarpura</v>
      </c>
      <c r="G123" s="1" t="str">
        <f>INDEX('Sheet5 (2)'!$B$1:$B$201,MATCH(A123,'Sheet5 (2)'!$D$1:$D$201,0))</f>
        <v xml:space="preserve"> Jodhpur</v>
      </c>
      <c r="H123" s="1" t="str">
        <f>INDEX('Sheet5 (2)'!$C$1:$C$201,MATCH(Table3[[#This Row],[EmpID]],'Sheet5 (2)'!$D$1:$D$201,0))</f>
        <v xml:space="preserve"> Rajasthan</v>
      </c>
      <c r="I123" s="7"/>
    </row>
    <row r="124" spans="1:9" x14ac:dyDescent="0.3">
      <c r="A124" s="6" t="s">
        <v>137</v>
      </c>
      <c r="B124" s="1" t="s">
        <v>337</v>
      </c>
      <c r="C124" s="1" t="s">
        <v>10</v>
      </c>
      <c r="D124" s="1">
        <v>75000</v>
      </c>
      <c r="E124" s="2">
        <v>43164</v>
      </c>
      <c r="F124" s="1" t="str">
        <f>INDEX('Sheet5 (2)'!$A$1:$A$201,MATCH(A124,'Sheet5 (2)'!$D$1:$D$201,0))</f>
        <v>9 Dewali</v>
      </c>
      <c r="G124" s="1" t="str">
        <f>INDEX('Sheet5 (2)'!$B$1:$B$201,MATCH(A124,'Sheet5 (2)'!$D$1:$D$201,0))</f>
        <v xml:space="preserve"> Udaipur</v>
      </c>
      <c r="H124" s="1" t="str">
        <f>INDEX('Sheet5 (2)'!$C$1:$C$201,MATCH(Table3[[#This Row],[EmpID]],'Sheet5 (2)'!$D$1:$D$201,0))</f>
        <v xml:space="preserve"> Rajasthan</v>
      </c>
      <c r="I124" s="7"/>
    </row>
    <row r="125" spans="1:9" x14ac:dyDescent="0.3">
      <c r="A125" s="6" t="s">
        <v>138</v>
      </c>
      <c r="B125" s="1" t="s">
        <v>338</v>
      </c>
      <c r="C125" s="1" t="s">
        <v>12</v>
      </c>
      <c r="D125" s="1">
        <v>61000</v>
      </c>
      <c r="E125" s="2">
        <v>44337</v>
      </c>
      <c r="F125" s="1" t="str">
        <f>INDEX('Sheet5 (2)'!$A$1:$A$201,MATCH(A125,'Sheet5 (2)'!$D$1:$D$201,0))</f>
        <v>6 Sanjay Place</v>
      </c>
      <c r="G125" s="1" t="str">
        <f>INDEX('Sheet5 (2)'!$B$1:$B$201,MATCH(A125,'Sheet5 (2)'!$D$1:$D$201,0))</f>
        <v xml:space="preserve"> Agra</v>
      </c>
      <c r="H125" s="1" t="str">
        <f>INDEX('Sheet5 (2)'!$C$1:$C$201,MATCH(Table3[[#This Row],[EmpID]],'Sheet5 (2)'!$D$1:$D$201,0))</f>
        <v xml:space="preserve"> Uttar Pradesh</v>
      </c>
      <c r="I125" s="7"/>
    </row>
    <row r="126" spans="1:9" x14ac:dyDescent="0.3">
      <c r="A126" s="6" t="s">
        <v>139</v>
      </c>
      <c r="B126" s="1" t="s">
        <v>339</v>
      </c>
      <c r="C126" s="1" t="s">
        <v>14</v>
      </c>
      <c r="D126" s="1">
        <v>69000</v>
      </c>
      <c r="E126" s="2">
        <v>42986</v>
      </c>
      <c r="F126" s="1" t="str">
        <f>INDEX('Sheet5 (2)'!$A$1:$A$201,MATCH(A126,'Sheet5 (2)'!$D$1:$D$201,0))</f>
        <v>22 Lanka Road</v>
      </c>
      <c r="G126" s="1" t="str">
        <f>INDEX('Sheet5 (2)'!$B$1:$B$201,MATCH(A126,'Sheet5 (2)'!$D$1:$D$201,0))</f>
        <v xml:space="preserve"> Varanasi</v>
      </c>
      <c r="H126" s="1" t="str">
        <f>INDEX('Sheet5 (2)'!$C$1:$C$201,MATCH(Table3[[#This Row],[EmpID]],'Sheet5 (2)'!$D$1:$D$201,0))</f>
        <v xml:space="preserve"> Uttar Pradesh</v>
      </c>
      <c r="I126" s="7"/>
    </row>
    <row r="127" spans="1:9" x14ac:dyDescent="0.3">
      <c r="A127" s="6" t="s">
        <v>140</v>
      </c>
      <c r="B127" s="1" t="s">
        <v>340</v>
      </c>
      <c r="C127" s="1" t="s">
        <v>16</v>
      </c>
      <c r="D127" s="1">
        <v>72000</v>
      </c>
      <c r="E127" s="2">
        <v>44594</v>
      </c>
      <c r="F127" s="1" t="str">
        <f>INDEX('Sheet5 (2)'!$A$1:$A$201,MATCH(A127,'Sheet5 (2)'!$D$1:$D$201,0))</f>
        <v>5 Shastri Nagar</v>
      </c>
      <c r="G127" s="1" t="str">
        <f>INDEX('Sheet5 (2)'!$B$1:$B$201,MATCH(A127,'Sheet5 (2)'!$D$1:$D$201,0))</f>
        <v xml:space="preserve"> Meerut</v>
      </c>
      <c r="H127" s="1" t="str">
        <f>INDEX('Sheet5 (2)'!$C$1:$C$201,MATCH(Table3[[#This Row],[EmpID]],'Sheet5 (2)'!$D$1:$D$201,0))</f>
        <v xml:space="preserve"> Uttar Pradesh</v>
      </c>
      <c r="I127" s="7"/>
    </row>
    <row r="128" spans="1:9" x14ac:dyDescent="0.3">
      <c r="A128" s="6" t="s">
        <v>141</v>
      </c>
      <c r="B128" s="1" t="s">
        <v>341</v>
      </c>
      <c r="C128" s="1" t="s">
        <v>18</v>
      </c>
      <c r="D128" s="1">
        <v>50000</v>
      </c>
      <c r="E128" s="2">
        <v>43633</v>
      </c>
      <c r="F128" s="1" t="str">
        <f>INDEX('Sheet5 (2)'!$A$1:$A$201,MATCH(A128,'Sheet5 (2)'!$D$1:$D$201,0))</f>
        <v>18 Ferozepur Road</v>
      </c>
      <c r="G128" s="1" t="str">
        <f>INDEX('Sheet5 (2)'!$B$1:$B$201,MATCH(A128,'Sheet5 (2)'!$D$1:$D$201,0))</f>
        <v xml:space="preserve"> Ludhiana</v>
      </c>
      <c r="H128" s="1" t="str">
        <f>INDEX('Sheet5 (2)'!$C$1:$C$201,MATCH(Table3[[#This Row],[EmpID]],'Sheet5 (2)'!$D$1:$D$201,0))</f>
        <v xml:space="preserve"> Punjab</v>
      </c>
      <c r="I128" s="7"/>
    </row>
    <row r="129" spans="1:9" x14ac:dyDescent="0.3">
      <c r="A129" s="6" t="s">
        <v>142</v>
      </c>
      <c r="B129" s="1" t="s">
        <v>342</v>
      </c>
      <c r="C129" s="1" t="s">
        <v>20</v>
      </c>
      <c r="D129" s="1">
        <v>66000</v>
      </c>
      <c r="E129" s="2">
        <v>44127</v>
      </c>
      <c r="F129" s="1" t="str">
        <f>INDEX('Sheet5 (2)'!$A$1:$A$201,MATCH(A129,'Sheet5 (2)'!$D$1:$D$201,0))</f>
        <v>7 Lawrence Road</v>
      </c>
      <c r="G129" s="1" t="str">
        <f>INDEX('Sheet5 (2)'!$B$1:$B$201,MATCH(A129,'Sheet5 (2)'!$D$1:$D$201,0))</f>
        <v xml:space="preserve"> Amritsar</v>
      </c>
      <c r="H129" s="1" t="str">
        <f>INDEX('Sheet5 (2)'!$C$1:$C$201,MATCH(Table3[[#This Row],[EmpID]],'Sheet5 (2)'!$D$1:$D$201,0))</f>
        <v xml:space="preserve"> Punjab</v>
      </c>
      <c r="I129" s="7"/>
    </row>
    <row r="130" spans="1:9" x14ac:dyDescent="0.3">
      <c r="A130" s="6" t="s">
        <v>143</v>
      </c>
      <c r="B130" s="1" t="s">
        <v>343</v>
      </c>
      <c r="C130" s="1" t="s">
        <v>22</v>
      </c>
      <c r="D130" s="1">
        <v>58000</v>
      </c>
      <c r="E130" s="2">
        <v>42490</v>
      </c>
      <c r="F130" s="1" t="str">
        <f>INDEX('Sheet5 (2)'!$A$1:$A$201,MATCH(A130,'Sheet5 (2)'!$D$1:$D$201,0))</f>
        <v>4 Model Town</v>
      </c>
      <c r="G130" s="1" t="str">
        <f>INDEX('Sheet5 (2)'!$B$1:$B$201,MATCH(A130,'Sheet5 (2)'!$D$1:$D$201,0))</f>
        <v xml:space="preserve"> Jalandhar</v>
      </c>
      <c r="H130" s="1" t="str">
        <f>INDEX('Sheet5 (2)'!$C$1:$C$201,MATCH(Table3[[#This Row],[EmpID]],'Sheet5 (2)'!$D$1:$D$201,0))</f>
        <v xml:space="preserve"> Punjab</v>
      </c>
      <c r="I130" s="7"/>
    </row>
    <row r="131" spans="1:9" x14ac:dyDescent="0.3">
      <c r="A131" s="6" t="s">
        <v>144</v>
      </c>
      <c r="B131" s="1" t="s">
        <v>344</v>
      </c>
      <c r="C131" s="1" t="s">
        <v>24</v>
      </c>
      <c r="D131" s="1">
        <v>45000</v>
      </c>
      <c r="E131" s="2">
        <v>42192</v>
      </c>
      <c r="F131" s="1" t="str">
        <f>INDEX('Sheet5 (2)'!$A$1:$A$201,MATCH(A131,'Sheet5 (2)'!$D$1:$D$201,0))</f>
        <v>12 Rajpur Road</v>
      </c>
      <c r="G131" s="1" t="str">
        <f>INDEX('Sheet5 (2)'!$B$1:$B$201,MATCH(A131,'Sheet5 (2)'!$D$1:$D$201,0))</f>
        <v xml:space="preserve"> Dehradun</v>
      </c>
      <c r="H131" s="1" t="str">
        <f>INDEX('Sheet5 (2)'!$C$1:$C$201,MATCH(Table3[[#This Row],[EmpID]],'Sheet5 (2)'!$D$1:$D$201,0))</f>
        <v xml:space="preserve"> Uttarakhand</v>
      </c>
      <c r="I131" s="7"/>
    </row>
    <row r="132" spans="1:9" x14ac:dyDescent="0.3">
      <c r="A132" s="6" t="s">
        <v>145</v>
      </c>
      <c r="B132" s="1" t="s">
        <v>345</v>
      </c>
      <c r="C132" s="1" t="s">
        <v>6</v>
      </c>
      <c r="D132" s="1">
        <v>80000</v>
      </c>
      <c r="E132" s="2">
        <v>43452</v>
      </c>
      <c r="F132" s="1" t="str">
        <f>INDEX('Sheet5 (2)'!$A$1:$A$201,MATCH(A132,'Sheet5 (2)'!$D$1:$D$201,0))</f>
        <v>2 The Mall</v>
      </c>
      <c r="G132" s="1" t="str">
        <f>INDEX('Sheet5 (2)'!$B$1:$B$201,MATCH(A132,'Sheet5 (2)'!$D$1:$D$201,0))</f>
        <v xml:space="preserve"> Shimla</v>
      </c>
      <c r="H132" s="1" t="str">
        <f>INDEX('Sheet5 (2)'!$C$1:$C$201,MATCH(Table3[[#This Row],[EmpID]],'Sheet5 (2)'!$D$1:$D$201,0))</f>
        <v xml:space="preserve"> Himachal Pradesh</v>
      </c>
      <c r="I132" s="7"/>
    </row>
    <row r="133" spans="1:9" x14ac:dyDescent="0.3">
      <c r="A133" s="6" t="s">
        <v>146</v>
      </c>
      <c r="B133" s="1" t="s">
        <v>346</v>
      </c>
      <c r="C133" s="1" t="s">
        <v>8</v>
      </c>
      <c r="D133" s="1">
        <v>54000</v>
      </c>
      <c r="E133" s="2">
        <v>43040</v>
      </c>
      <c r="F133" s="1" t="str">
        <f>INDEX('Sheet5 (2)'!$A$1:$A$201,MATCH(A133,'Sheet5 (2)'!$D$1:$D$201,0))</f>
        <v>9 Lal Chowk</v>
      </c>
      <c r="G133" s="1" t="str">
        <f>INDEX('Sheet5 (2)'!$B$1:$B$201,MATCH(A133,'Sheet5 (2)'!$D$1:$D$201,0))</f>
        <v xml:space="preserve"> Srinagar</v>
      </c>
      <c r="H133" s="1" t="str">
        <f>INDEX('Sheet5 (2)'!$C$1:$C$201,MATCH(Table3[[#This Row],[EmpID]],'Sheet5 (2)'!$D$1:$D$201,0))</f>
        <v xml:space="preserve"> Jammu and Kashmir</v>
      </c>
      <c r="I133" s="7"/>
    </row>
    <row r="134" spans="1:9" x14ac:dyDescent="0.3">
      <c r="A134" s="6" t="s">
        <v>147</v>
      </c>
      <c r="B134" s="1" t="s">
        <v>347</v>
      </c>
      <c r="C134" s="1" t="s">
        <v>10</v>
      </c>
      <c r="D134" s="1">
        <v>47000</v>
      </c>
      <c r="E134" s="2">
        <v>44209</v>
      </c>
      <c r="F134" s="1" t="str">
        <f>INDEX('Sheet5 (2)'!$A$1:$A$201,MATCH(A134,'Sheet5 (2)'!$D$1:$D$201,0))</f>
        <v>16 GS Road</v>
      </c>
      <c r="G134" s="1" t="str">
        <f>INDEX('Sheet5 (2)'!$B$1:$B$201,MATCH(A134,'Sheet5 (2)'!$D$1:$D$201,0))</f>
        <v xml:space="preserve"> Guwahati</v>
      </c>
      <c r="H134" s="1" t="str">
        <f>INDEX('Sheet5 (2)'!$C$1:$C$201,MATCH(Table3[[#This Row],[EmpID]],'Sheet5 (2)'!$D$1:$D$201,0))</f>
        <v xml:space="preserve"> Assam</v>
      </c>
      <c r="I134" s="7"/>
    </row>
    <row r="135" spans="1:9" x14ac:dyDescent="0.3">
      <c r="A135" s="6" t="s">
        <v>148</v>
      </c>
      <c r="B135" s="1" t="s">
        <v>348</v>
      </c>
      <c r="C135" s="1" t="s">
        <v>12</v>
      </c>
      <c r="D135" s="1">
        <v>90000</v>
      </c>
      <c r="E135" s="2">
        <v>42606</v>
      </c>
      <c r="F135" s="1" t="str">
        <f>INDEX('Sheet5 (2)'!$A$1:$A$201,MATCH(A135,'Sheet5 (2)'!$D$1:$D$201,0))</f>
        <v>5 Thangal Bazar</v>
      </c>
      <c r="G135" s="1" t="str">
        <f>INDEX('Sheet5 (2)'!$B$1:$B$201,MATCH(A135,'Sheet5 (2)'!$D$1:$D$201,0))</f>
        <v xml:space="preserve"> Imphal</v>
      </c>
      <c r="H135" s="1" t="str">
        <f>INDEX('Sheet5 (2)'!$C$1:$C$201,MATCH(Table3[[#This Row],[EmpID]],'Sheet5 (2)'!$D$1:$D$201,0))</f>
        <v xml:space="preserve"> Manipur</v>
      </c>
      <c r="I135" s="7"/>
    </row>
    <row r="136" spans="1:9" x14ac:dyDescent="0.3">
      <c r="A136" s="6" t="s">
        <v>149</v>
      </c>
      <c r="B136" s="1" t="s">
        <v>349</v>
      </c>
      <c r="C136" s="1" t="s">
        <v>14</v>
      </c>
      <c r="D136" s="1">
        <v>62000</v>
      </c>
      <c r="E136" s="2">
        <v>43501</v>
      </c>
      <c r="F136" s="1" t="str">
        <f>INDEX('Sheet5 (2)'!$A$1:$A$201,MATCH(A136,'Sheet5 (2)'!$D$1:$D$201,0))</f>
        <v>11 VIP Road</v>
      </c>
      <c r="G136" s="1" t="str">
        <f>INDEX('Sheet5 (2)'!$B$1:$B$201,MATCH(A136,'Sheet5 (2)'!$D$1:$D$201,0))</f>
        <v xml:space="preserve"> Itanagar</v>
      </c>
      <c r="H136" s="1" t="str">
        <f>INDEX('Sheet5 (2)'!$C$1:$C$201,MATCH(Table3[[#This Row],[EmpID]],'Sheet5 (2)'!$D$1:$D$201,0))</f>
        <v xml:space="preserve"> Arunachal Pradesh</v>
      </c>
      <c r="I136" s="7"/>
    </row>
    <row r="137" spans="1:9" x14ac:dyDescent="0.3">
      <c r="A137" s="6" t="s">
        <v>150</v>
      </c>
      <c r="B137" s="1" t="s">
        <v>350</v>
      </c>
      <c r="C137" s="1" t="s">
        <v>16</v>
      </c>
      <c r="D137" s="1">
        <v>73000</v>
      </c>
      <c r="E137" s="2">
        <v>44012</v>
      </c>
      <c r="F137" s="1" t="str">
        <f>INDEX('Sheet5 (2)'!$A$1:$A$201,MATCH(A137,'Sheet5 (2)'!$D$1:$D$201,0))</f>
        <v>8 Kohima Road</v>
      </c>
      <c r="G137" s="1" t="str">
        <f>INDEX('Sheet5 (2)'!$B$1:$B$201,MATCH(A137,'Sheet5 (2)'!$D$1:$D$201,0))</f>
        <v xml:space="preserve"> Kohima</v>
      </c>
      <c r="H137" s="1" t="str">
        <f>INDEX('Sheet5 (2)'!$C$1:$C$201,MATCH(Table3[[#This Row],[EmpID]],'Sheet5 (2)'!$D$1:$D$201,0))</f>
        <v xml:space="preserve"> Nagaland</v>
      </c>
      <c r="I137" s="7"/>
    </row>
    <row r="138" spans="1:9" x14ac:dyDescent="0.3">
      <c r="A138" s="6" t="s">
        <v>151</v>
      </c>
      <c r="B138" s="1" t="s">
        <v>351</v>
      </c>
      <c r="C138" s="1" t="s">
        <v>18</v>
      </c>
      <c r="D138" s="1">
        <v>56000</v>
      </c>
      <c r="E138" s="2">
        <v>42266</v>
      </c>
      <c r="F138" s="1" t="str">
        <f>INDEX('Sheet5 (2)'!$A$1:$A$201,MATCH(A138,'Sheet5 (2)'!$D$1:$D$201,0))</f>
        <v>3 Zarkawt</v>
      </c>
      <c r="G138" s="1" t="str">
        <f>INDEX('Sheet5 (2)'!$B$1:$B$201,MATCH(A138,'Sheet5 (2)'!$D$1:$D$201,0))</f>
        <v xml:space="preserve"> Aizawl</v>
      </c>
      <c r="H138" s="1" t="str">
        <f>INDEX('Sheet5 (2)'!$C$1:$C$201,MATCH(Table3[[#This Row],[EmpID]],'Sheet5 (2)'!$D$1:$D$201,0))</f>
        <v xml:space="preserve"> Mizoram</v>
      </c>
      <c r="I138" s="7"/>
    </row>
    <row r="139" spans="1:9" x14ac:dyDescent="0.3">
      <c r="A139" s="6" t="s">
        <v>152</v>
      </c>
      <c r="B139" s="1" t="s">
        <v>352</v>
      </c>
      <c r="C139" s="1" t="s">
        <v>20</v>
      </c>
      <c r="D139" s="1">
        <v>67000</v>
      </c>
      <c r="E139" s="2">
        <v>43198</v>
      </c>
      <c r="F139" s="1" t="str">
        <f>INDEX('Sheet5 (2)'!$A$1:$A$201,MATCH(A139,'Sheet5 (2)'!$D$1:$D$201,0))</f>
        <v>14 Aberdeen Bazaar</v>
      </c>
      <c r="G139" s="1" t="str">
        <f>INDEX('Sheet5 (2)'!$B$1:$B$201,MATCH(A139,'Sheet5 (2)'!$D$1:$D$201,0))</f>
        <v xml:space="preserve"> Port Blair</v>
      </c>
      <c r="H139" s="1" t="str">
        <f>INDEX('Sheet5 (2)'!$C$1:$C$201,MATCH(Table3[[#This Row],[EmpID]],'Sheet5 (2)'!$D$1:$D$201,0))</f>
        <v xml:space="preserve"> Andaman and Nicobar Islands</v>
      </c>
      <c r="I139" s="7"/>
    </row>
    <row r="140" spans="1:9" x14ac:dyDescent="0.3">
      <c r="A140" s="6" t="s">
        <v>153</v>
      </c>
      <c r="B140" s="1" t="s">
        <v>353</v>
      </c>
      <c r="C140" s="1" t="s">
        <v>22</v>
      </c>
      <c r="D140" s="1">
        <v>71000</v>
      </c>
      <c r="E140" s="2">
        <v>44805</v>
      </c>
      <c r="F140" s="1" t="str">
        <f>INDEX('Sheet5 (2)'!$A$1:$A$201,MATCH(A140,'Sheet5 (2)'!$D$1:$D$201,0))</f>
        <v>10 MG Road</v>
      </c>
      <c r="G140" s="1" t="str">
        <f>INDEX('Sheet5 (2)'!$B$1:$B$201,MATCH(A140,'Sheet5 (2)'!$D$1:$D$201,0))</f>
        <v xml:space="preserve"> New Delhi</v>
      </c>
      <c r="H140" s="1" t="str">
        <f>INDEX('Sheet5 (2)'!$C$1:$C$201,MATCH(Table3[[#This Row],[EmpID]],'Sheet5 (2)'!$D$1:$D$201,0))</f>
        <v xml:space="preserve"> Delhi</v>
      </c>
      <c r="I140" s="7"/>
    </row>
    <row r="141" spans="1:9" x14ac:dyDescent="0.3">
      <c r="A141" s="6" t="s">
        <v>154</v>
      </c>
      <c r="B141" s="1" t="s">
        <v>354</v>
      </c>
      <c r="C141" s="1" t="s">
        <v>24</v>
      </c>
      <c r="D141" s="1">
        <v>64000</v>
      </c>
      <c r="E141" s="2">
        <v>43079</v>
      </c>
      <c r="F141" s="1" t="str">
        <f>INDEX('Sheet5 (2)'!$A$1:$A$201,MATCH(A141,'Sheet5 (2)'!$D$1:$D$201,0))</f>
        <v>26 Park Street</v>
      </c>
      <c r="G141" s="1" t="str">
        <f>INDEX('Sheet5 (2)'!$B$1:$B$201,MATCH(A141,'Sheet5 (2)'!$D$1:$D$201,0))</f>
        <v xml:space="preserve"> Kolkata</v>
      </c>
      <c r="H141" s="1" t="str">
        <f>INDEX('Sheet5 (2)'!$C$1:$C$201,MATCH(Table3[[#This Row],[EmpID]],'Sheet5 (2)'!$D$1:$D$201,0))</f>
        <v xml:space="preserve"> West Bengal</v>
      </c>
      <c r="I141" s="7"/>
    </row>
    <row r="142" spans="1:9" x14ac:dyDescent="0.3">
      <c r="A142" s="6" t="s">
        <v>155</v>
      </c>
      <c r="B142" s="1" t="s">
        <v>355</v>
      </c>
      <c r="C142" s="1" t="s">
        <v>6</v>
      </c>
      <c r="D142" s="1">
        <v>52000</v>
      </c>
      <c r="E142" s="2">
        <v>43557</v>
      </c>
      <c r="F142" s="1" t="str">
        <f>INDEX('Sheet5 (2)'!$A$1:$A$201,MATCH(A142,'Sheet5 (2)'!$D$1:$D$201,0))</f>
        <v>4 Brigade Road</v>
      </c>
      <c r="G142" s="1" t="str">
        <f>INDEX('Sheet5 (2)'!$B$1:$B$201,MATCH(A142,'Sheet5 (2)'!$D$1:$D$201,0))</f>
        <v xml:space="preserve"> Bangalore</v>
      </c>
      <c r="H142" s="1" t="str">
        <f>INDEX('Sheet5 (2)'!$C$1:$C$201,MATCH(Table3[[#This Row],[EmpID]],'Sheet5 (2)'!$D$1:$D$201,0))</f>
        <v xml:space="preserve"> Karnataka</v>
      </c>
      <c r="I142" s="7"/>
    </row>
    <row r="143" spans="1:9" x14ac:dyDescent="0.3">
      <c r="A143" s="6" t="s">
        <v>156</v>
      </c>
      <c r="B143" s="1" t="s">
        <v>356</v>
      </c>
      <c r="C143" s="1" t="s">
        <v>8</v>
      </c>
      <c r="D143" s="1">
        <v>48000</v>
      </c>
      <c r="E143" s="2">
        <v>43872</v>
      </c>
      <c r="F143" s="1" t="str">
        <f>INDEX('Sheet5 (2)'!$A$1:$A$201,MATCH(A143,'Sheet5 (2)'!$D$1:$D$201,0))</f>
        <v>19 Anna Salai</v>
      </c>
      <c r="G143" s="1" t="str">
        <f>INDEX('Sheet5 (2)'!$B$1:$B$201,MATCH(A143,'Sheet5 (2)'!$D$1:$D$201,0))</f>
        <v xml:space="preserve"> Chennai</v>
      </c>
      <c r="H143" s="1" t="str">
        <f>INDEX('Sheet5 (2)'!$C$1:$C$201,MATCH(Table3[[#This Row],[EmpID]],'Sheet5 (2)'!$D$1:$D$201,0))</f>
        <v xml:space="preserve"> Tamil Nadu</v>
      </c>
      <c r="I143" s="7"/>
    </row>
    <row r="144" spans="1:9" x14ac:dyDescent="0.3">
      <c r="A144" s="6" t="s">
        <v>157</v>
      </c>
      <c r="B144" s="1" t="s">
        <v>357</v>
      </c>
      <c r="C144" s="1" t="s">
        <v>10</v>
      </c>
      <c r="D144" s="1">
        <v>75000</v>
      </c>
      <c r="E144" s="2">
        <v>43307</v>
      </c>
      <c r="F144" s="1" t="str">
        <f>INDEX('Sheet5 (2)'!$A$1:$A$201,MATCH(A144,'Sheet5 (2)'!$D$1:$D$201,0))</f>
        <v>33 Marine Drive</v>
      </c>
      <c r="G144" s="1" t="str">
        <f>INDEX('Sheet5 (2)'!$B$1:$B$201,MATCH(A144,'Sheet5 (2)'!$D$1:$D$201,0))</f>
        <v xml:space="preserve"> Mumbai</v>
      </c>
      <c r="H144" s="1" t="str">
        <f>INDEX('Sheet5 (2)'!$C$1:$C$201,MATCH(Table3[[#This Row],[EmpID]],'Sheet5 (2)'!$D$1:$D$201,0))</f>
        <v xml:space="preserve"> Maharashtra</v>
      </c>
      <c r="I144" s="7"/>
    </row>
    <row r="145" spans="1:9" x14ac:dyDescent="0.3">
      <c r="A145" s="6" t="s">
        <v>158</v>
      </c>
      <c r="B145" s="1" t="s">
        <v>358</v>
      </c>
      <c r="C145" s="1" t="s">
        <v>12</v>
      </c>
      <c r="D145" s="1">
        <v>61000</v>
      </c>
      <c r="E145" s="2">
        <v>44484</v>
      </c>
      <c r="F145" s="1" t="str">
        <f>INDEX('Sheet5 (2)'!$A$1:$A$201,MATCH(A145,'Sheet5 (2)'!$D$1:$D$201,0))</f>
        <v>15 Koregaon Park</v>
      </c>
      <c r="G145" s="1" t="str">
        <f>INDEX('Sheet5 (2)'!$B$1:$B$201,MATCH(A145,'Sheet5 (2)'!$D$1:$D$201,0))</f>
        <v xml:space="preserve"> Pune</v>
      </c>
      <c r="H145" s="1" t="str">
        <f>INDEX('Sheet5 (2)'!$C$1:$C$201,MATCH(Table3[[#This Row],[EmpID]],'Sheet5 (2)'!$D$1:$D$201,0))</f>
        <v xml:space="preserve"> Maharashtra</v>
      </c>
      <c r="I145" s="7"/>
    </row>
    <row r="146" spans="1:9" x14ac:dyDescent="0.3">
      <c r="A146" s="6" t="s">
        <v>159</v>
      </c>
      <c r="B146" s="1" t="s">
        <v>359</v>
      </c>
      <c r="C146" s="1" t="s">
        <v>14</v>
      </c>
      <c r="D146" s="1">
        <v>69000</v>
      </c>
      <c r="E146" s="2">
        <v>42879</v>
      </c>
      <c r="F146" s="1" t="str">
        <f>INDEX('Sheet5 (2)'!$A$1:$A$201,MATCH(A146,'Sheet5 (2)'!$D$1:$D$201,0))</f>
        <v>6 Banjara Hills</v>
      </c>
      <c r="G146" s="1" t="str">
        <f>INDEX('Sheet5 (2)'!$B$1:$B$201,MATCH(A146,'Sheet5 (2)'!$D$1:$D$201,0))</f>
        <v xml:space="preserve"> Hyderabad</v>
      </c>
      <c r="H146" s="1" t="str">
        <f>INDEX('Sheet5 (2)'!$C$1:$C$201,MATCH(Table3[[#This Row],[EmpID]],'Sheet5 (2)'!$D$1:$D$201,0))</f>
        <v xml:space="preserve"> Telangana</v>
      </c>
      <c r="I146" s="7"/>
    </row>
    <row r="147" spans="1:9" x14ac:dyDescent="0.3">
      <c r="A147" s="6" t="s">
        <v>160</v>
      </c>
      <c r="B147" s="1" t="s">
        <v>360</v>
      </c>
      <c r="C147" s="1" t="s">
        <v>16</v>
      </c>
      <c r="D147" s="1">
        <v>72000</v>
      </c>
      <c r="E147" s="2">
        <v>44623</v>
      </c>
      <c r="F147" s="1" t="str">
        <f>INDEX('Sheet5 (2)'!$A$1:$A$201,MATCH(A147,'Sheet5 (2)'!$D$1:$D$201,0))</f>
        <v>9 CG Road</v>
      </c>
      <c r="G147" s="1" t="str">
        <f>INDEX('Sheet5 (2)'!$B$1:$B$201,MATCH(A147,'Sheet5 (2)'!$D$1:$D$201,0))</f>
        <v xml:space="preserve"> Ahmedabad</v>
      </c>
      <c r="H147" s="1" t="str">
        <f>INDEX('Sheet5 (2)'!$C$1:$C$201,MATCH(Table3[[#This Row],[EmpID]],'Sheet5 (2)'!$D$1:$D$201,0))</f>
        <v xml:space="preserve"> Gujarat</v>
      </c>
      <c r="I147" s="7"/>
    </row>
    <row r="148" spans="1:9" x14ac:dyDescent="0.3">
      <c r="A148" s="6" t="s">
        <v>161</v>
      </c>
      <c r="B148" s="1" t="s">
        <v>361</v>
      </c>
      <c r="C148" s="1" t="s">
        <v>18</v>
      </c>
      <c r="D148" s="1">
        <v>50000</v>
      </c>
      <c r="E148" s="2">
        <v>43485</v>
      </c>
      <c r="F148" s="1" t="str">
        <f>INDEX('Sheet5 (2)'!$A$1:$A$201,MATCH(A148,'Sheet5 (2)'!$D$1:$D$201,0))</f>
        <v>12 Hazratganj</v>
      </c>
      <c r="G148" s="1" t="str">
        <f>INDEX('Sheet5 (2)'!$B$1:$B$201,MATCH(A148,'Sheet5 (2)'!$D$1:$D$201,0))</f>
        <v xml:space="preserve"> Lucknow</v>
      </c>
      <c r="H148" s="1" t="str">
        <f>INDEX('Sheet5 (2)'!$C$1:$C$201,MATCH(Table3[[#This Row],[EmpID]],'Sheet5 (2)'!$D$1:$D$201,0))</f>
        <v xml:space="preserve"> Uttar Pradesh</v>
      </c>
      <c r="I148" s="7"/>
    </row>
    <row r="149" spans="1:9" x14ac:dyDescent="0.3">
      <c r="A149" s="6" t="s">
        <v>162</v>
      </c>
      <c r="B149" s="1" t="s">
        <v>362</v>
      </c>
      <c r="C149" s="1" t="s">
        <v>20</v>
      </c>
      <c r="D149" s="1">
        <v>66000</v>
      </c>
      <c r="E149" s="2">
        <v>44021</v>
      </c>
      <c r="F149" s="1" t="str">
        <f>INDEX('Sheet5 (2)'!$A$1:$A$201,MATCH(A149,'Sheet5 (2)'!$D$1:$D$201,0))</f>
        <v>8 MI Road</v>
      </c>
      <c r="G149" s="1" t="str">
        <f>INDEX('Sheet5 (2)'!$B$1:$B$201,MATCH(A149,'Sheet5 (2)'!$D$1:$D$201,0))</f>
        <v xml:space="preserve"> Jaipur</v>
      </c>
      <c r="H149" s="1" t="str">
        <f>INDEX('Sheet5 (2)'!$C$1:$C$201,MATCH(Table3[[#This Row],[EmpID]],'Sheet5 (2)'!$D$1:$D$201,0))</f>
        <v xml:space="preserve"> Rajasthan</v>
      </c>
      <c r="I149" s="7"/>
    </row>
    <row r="150" spans="1:9" x14ac:dyDescent="0.3">
      <c r="A150" s="6" t="s">
        <v>163</v>
      </c>
      <c r="B150" s="1" t="s">
        <v>363</v>
      </c>
      <c r="C150" s="1" t="s">
        <v>22</v>
      </c>
      <c r="D150" s="1">
        <v>58000</v>
      </c>
      <c r="E150" s="2">
        <v>42671</v>
      </c>
      <c r="F150" s="1" t="str">
        <f>INDEX('Sheet5 (2)'!$A$1:$A$201,MATCH(A150,'Sheet5 (2)'!$D$1:$D$201,0))</f>
        <v>21 Sector 17</v>
      </c>
      <c r="G150" s="1" t="str">
        <f>INDEX('Sheet5 (2)'!$B$1:$B$201,MATCH(A150,'Sheet5 (2)'!$D$1:$D$201,0))</f>
        <v xml:space="preserve"> Chandigarh</v>
      </c>
      <c r="H150" s="1" t="str">
        <f>INDEX('Sheet5 (2)'!$C$1:$C$201,MATCH(Table3[[#This Row],[EmpID]],'Sheet5 (2)'!$D$1:$D$201,0))</f>
        <v xml:space="preserve"> Chandigarh</v>
      </c>
      <c r="I150" s="7"/>
    </row>
    <row r="151" spans="1:9" x14ac:dyDescent="0.3">
      <c r="A151" s="6" t="s">
        <v>164</v>
      </c>
      <c r="B151" s="1" t="s">
        <v>364</v>
      </c>
      <c r="C151" s="1" t="s">
        <v>24</v>
      </c>
      <c r="D151" s="1">
        <v>45000</v>
      </c>
      <c r="E151" s="2">
        <v>42075</v>
      </c>
      <c r="F151" s="1" t="str">
        <f>INDEX('Sheet5 (2)'!$A$1:$A$201,MATCH(A151,'Sheet5 (2)'!$D$1:$D$201,0))</f>
        <v>5 Udyog Vihar</v>
      </c>
      <c r="G151" s="1" t="str">
        <f>INDEX('Sheet5 (2)'!$B$1:$B$201,MATCH(A151,'Sheet5 (2)'!$D$1:$D$201,0))</f>
        <v xml:space="preserve"> Gurgaon</v>
      </c>
      <c r="H151" s="1" t="str">
        <f>INDEX('Sheet5 (2)'!$C$1:$C$201,MATCH(Table3[[#This Row],[EmpID]],'Sheet5 (2)'!$D$1:$D$201,0))</f>
        <v xml:space="preserve"> Haryana</v>
      </c>
      <c r="I151" s="7"/>
    </row>
    <row r="152" spans="1:9" x14ac:dyDescent="0.3">
      <c r="A152" s="6" t="s">
        <v>165</v>
      </c>
      <c r="B152" s="1" t="s">
        <v>365</v>
      </c>
      <c r="C152" s="1" t="s">
        <v>6</v>
      </c>
      <c r="D152" s="1">
        <v>80000</v>
      </c>
      <c r="E152" s="2">
        <v>43221</v>
      </c>
      <c r="F152" s="1" t="str">
        <f>INDEX('Sheet5 (2)'!$A$1:$A$201,MATCH(A152,'Sheet5 (2)'!$D$1:$D$201,0))</f>
        <v>17 Sector 18</v>
      </c>
      <c r="G152" s="1" t="str">
        <f>INDEX('Sheet5 (2)'!$B$1:$B$201,MATCH(A152,'Sheet5 (2)'!$D$1:$D$201,0))</f>
        <v xml:space="preserve"> Noida</v>
      </c>
      <c r="H152" s="1" t="str">
        <f>INDEX('Sheet5 (2)'!$C$1:$C$201,MATCH(Table3[[#This Row],[EmpID]],'Sheet5 (2)'!$D$1:$D$201,0))</f>
        <v xml:space="preserve"> Uttar Pradesh</v>
      </c>
      <c r="I152" s="7"/>
    </row>
    <row r="153" spans="1:9" x14ac:dyDescent="0.3">
      <c r="A153" s="6" t="s">
        <v>166</v>
      </c>
      <c r="B153" s="1" t="s">
        <v>366</v>
      </c>
      <c r="C153" s="1" t="s">
        <v>8</v>
      </c>
      <c r="D153" s="1">
        <v>54000</v>
      </c>
      <c r="E153" s="2">
        <v>42902</v>
      </c>
      <c r="F153" s="1" t="str">
        <f>INDEX('Sheet5 (2)'!$A$1:$A$201,MATCH(A153,'Sheet5 (2)'!$D$1:$D$201,0))</f>
        <v>3 Raj Nagar</v>
      </c>
      <c r="G153" s="1" t="str">
        <f>INDEX('Sheet5 (2)'!$B$1:$B$201,MATCH(A153,'Sheet5 (2)'!$D$1:$D$201,0))</f>
        <v xml:space="preserve"> Ghaziabad</v>
      </c>
      <c r="H153" s="1" t="str">
        <f>INDEX('Sheet5 (2)'!$C$1:$C$201,MATCH(Table3[[#This Row],[EmpID]],'Sheet5 (2)'!$D$1:$D$201,0))</f>
        <v xml:space="preserve"> Uttar Pradesh</v>
      </c>
      <c r="I153" s="7"/>
    </row>
    <row r="154" spans="1:9" x14ac:dyDescent="0.3">
      <c r="A154" s="6" t="s">
        <v>167</v>
      </c>
      <c r="B154" s="1" t="s">
        <v>367</v>
      </c>
      <c r="C154" s="1" t="s">
        <v>10</v>
      </c>
      <c r="D154" s="1">
        <v>47000</v>
      </c>
      <c r="E154" s="2">
        <v>44231</v>
      </c>
      <c r="F154" s="1" t="str">
        <f>INDEX('Sheet5 (2)'!$A$1:$A$201,MATCH(A154,'Sheet5 (2)'!$D$1:$D$201,0))</f>
        <v>11 Indirapuram</v>
      </c>
      <c r="G154" s="1" t="str">
        <f>INDEX('Sheet5 (2)'!$B$1:$B$201,MATCH(A154,'Sheet5 (2)'!$D$1:$D$201,0))</f>
        <v xml:space="preserve"> Ghaziabad</v>
      </c>
      <c r="H154" s="1" t="str">
        <f>INDEX('Sheet5 (2)'!$C$1:$C$201,MATCH(Table3[[#This Row],[EmpID]],'Sheet5 (2)'!$D$1:$D$201,0))</f>
        <v xml:space="preserve"> Uttar Pradesh</v>
      </c>
      <c r="I154" s="7"/>
    </row>
    <row r="155" spans="1:9" x14ac:dyDescent="0.3">
      <c r="A155" s="6" t="s">
        <v>168</v>
      </c>
      <c r="B155" s="1" t="s">
        <v>368</v>
      </c>
      <c r="C155" s="1" t="s">
        <v>12</v>
      </c>
      <c r="D155" s="1">
        <v>90000</v>
      </c>
      <c r="E155" s="2">
        <v>42697</v>
      </c>
      <c r="F155" s="1" t="str">
        <f>INDEX('Sheet5 (2)'!$A$1:$A$201,MATCH(A155,'Sheet5 (2)'!$D$1:$D$201,0))</f>
        <v>6 Swaroop Nagar</v>
      </c>
      <c r="G155" s="1" t="str">
        <f>INDEX('Sheet5 (2)'!$B$1:$B$201,MATCH(A155,'Sheet5 (2)'!$D$1:$D$201,0))</f>
        <v xml:space="preserve"> Kanpur</v>
      </c>
      <c r="H155" s="1" t="str">
        <f>INDEX('Sheet5 (2)'!$C$1:$C$201,MATCH(Table3[[#This Row],[EmpID]],'Sheet5 (2)'!$D$1:$D$201,0))</f>
        <v xml:space="preserve"> Uttar Pradesh</v>
      </c>
      <c r="I155" s="7"/>
    </row>
    <row r="156" spans="1:9" x14ac:dyDescent="0.3">
      <c r="A156" s="6" t="s">
        <v>169</v>
      </c>
      <c r="B156" s="1" t="s">
        <v>369</v>
      </c>
      <c r="C156" s="1" t="s">
        <v>14</v>
      </c>
      <c r="D156" s="1">
        <v>62000</v>
      </c>
      <c r="E156" s="2">
        <v>43689</v>
      </c>
      <c r="F156" s="1" t="str">
        <f>INDEX('Sheet5 (2)'!$A$1:$A$201,MATCH(A156,'Sheet5 (2)'!$D$1:$D$201,0))</f>
        <v>9 Athwagate</v>
      </c>
      <c r="G156" s="1" t="str">
        <f>INDEX('Sheet5 (2)'!$B$1:$B$201,MATCH(A156,'Sheet5 (2)'!$D$1:$D$201,0))</f>
        <v xml:space="preserve"> Surat</v>
      </c>
      <c r="H156" s="1" t="str">
        <f>INDEX('Sheet5 (2)'!$C$1:$C$201,MATCH(Table3[[#This Row],[EmpID]],'Sheet5 (2)'!$D$1:$D$201,0))</f>
        <v xml:space="preserve"> Gujarat</v>
      </c>
      <c r="I156" s="7"/>
    </row>
    <row r="157" spans="1:9" x14ac:dyDescent="0.3">
      <c r="A157" s="6" t="s">
        <v>170</v>
      </c>
      <c r="B157" s="1" t="s">
        <v>370</v>
      </c>
      <c r="C157" s="1" t="s">
        <v>16</v>
      </c>
      <c r="D157" s="1">
        <v>73000</v>
      </c>
      <c r="E157" s="2">
        <v>44194</v>
      </c>
      <c r="F157" s="1" t="str">
        <f>INDEX('Sheet5 (2)'!$A$1:$A$201,MATCH(A157,'Sheet5 (2)'!$D$1:$D$201,0))</f>
        <v>14 Sama Road</v>
      </c>
      <c r="G157" s="1" t="str">
        <f>INDEX('Sheet5 (2)'!$B$1:$B$201,MATCH(A157,'Sheet5 (2)'!$D$1:$D$201,0))</f>
        <v xml:space="preserve"> Vadodara</v>
      </c>
      <c r="H157" s="1" t="str">
        <f>INDEX('Sheet5 (2)'!$C$1:$C$201,MATCH(Table3[[#This Row],[EmpID]],'Sheet5 (2)'!$D$1:$D$201,0))</f>
        <v xml:space="preserve"> Gujarat</v>
      </c>
      <c r="I157" s="7"/>
    </row>
    <row r="158" spans="1:9" x14ac:dyDescent="0.3">
      <c r="A158" s="6" t="s">
        <v>171</v>
      </c>
      <c r="B158" s="1" t="s">
        <v>371</v>
      </c>
      <c r="C158" s="1" t="s">
        <v>18</v>
      </c>
      <c r="D158" s="1">
        <v>56000</v>
      </c>
      <c r="E158" s="2">
        <v>42011</v>
      </c>
      <c r="F158" s="1" t="str">
        <f>INDEX('Sheet5 (2)'!$A$1:$A$201,MATCH(A158,'Sheet5 (2)'!$D$1:$D$201,0))</f>
        <v>7 Arera Hills</v>
      </c>
      <c r="G158" s="1" t="str">
        <f>INDEX('Sheet5 (2)'!$B$1:$B$201,MATCH(A158,'Sheet5 (2)'!$D$1:$D$201,0))</f>
        <v xml:space="preserve"> Bhopal</v>
      </c>
      <c r="H158" s="1" t="str">
        <f>INDEX('Sheet5 (2)'!$C$1:$C$201,MATCH(Table3[[#This Row],[EmpID]],'Sheet5 (2)'!$D$1:$D$201,0))</f>
        <v xml:space="preserve"> Madhya Pradesh</v>
      </c>
      <c r="I158" s="7"/>
    </row>
    <row r="159" spans="1:9" x14ac:dyDescent="0.3">
      <c r="A159" s="6" t="s">
        <v>172</v>
      </c>
      <c r="B159" s="1" t="s">
        <v>372</v>
      </c>
      <c r="C159" s="1" t="s">
        <v>20</v>
      </c>
      <c r="D159" s="1">
        <v>67000</v>
      </c>
      <c r="E159" s="2">
        <v>43269</v>
      </c>
      <c r="F159" s="1" t="str">
        <f>INDEX('Sheet5 (2)'!$A$1:$A$201,MATCH(A159,'Sheet5 (2)'!$D$1:$D$201,0))</f>
        <v>10 MR10 Road</v>
      </c>
      <c r="G159" s="1" t="str">
        <f>INDEX('Sheet5 (2)'!$B$1:$B$201,MATCH(A159,'Sheet5 (2)'!$D$1:$D$201,0))</f>
        <v xml:space="preserve"> Indore</v>
      </c>
      <c r="H159" s="1" t="str">
        <f>INDEX('Sheet5 (2)'!$C$1:$C$201,MATCH(Table3[[#This Row],[EmpID]],'Sheet5 (2)'!$D$1:$D$201,0))</f>
        <v xml:space="preserve"> Madhya Pradesh</v>
      </c>
      <c r="I159" s="7"/>
    </row>
    <row r="160" spans="1:9" x14ac:dyDescent="0.3">
      <c r="A160" s="6" t="s">
        <v>173</v>
      </c>
      <c r="B160" s="1" t="s">
        <v>373</v>
      </c>
      <c r="C160" s="1" t="s">
        <v>22</v>
      </c>
      <c r="D160" s="1">
        <v>71000</v>
      </c>
      <c r="E160" s="2">
        <v>44706</v>
      </c>
      <c r="F160" s="1" t="str">
        <f>INDEX('Sheet5 (2)'!$A$1:$A$201,MATCH(A160,'Sheet5 (2)'!$D$1:$D$201,0))</f>
        <v>2 Bailey Road</v>
      </c>
      <c r="G160" s="1" t="str">
        <f>INDEX('Sheet5 (2)'!$B$1:$B$201,MATCH(A160,'Sheet5 (2)'!$D$1:$D$201,0))</f>
        <v xml:space="preserve"> Patna</v>
      </c>
      <c r="H160" s="1" t="str">
        <f>INDEX('Sheet5 (2)'!$C$1:$C$201,MATCH(Table3[[#This Row],[EmpID]],'Sheet5 (2)'!$D$1:$D$201,0))</f>
        <v xml:space="preserve"> Bihar</v>
      </c>
      <c r="I160" s="7"/>
    </row>
    <row r="161" spans="1:9" x14ac:dyDescent="0.3">
      <c r="A161" s="6" t="s">
        <v>174</v>
      </c>
      <c r="B161" s="1" t="s">
        <v>374</v>
      </c>
      <c r="C161" s="1" t="s">
        <v>24</v>
      </c>
      <c r="D161" s="1">
        <v>64000</v>
      </c>
      <c r="E161" s="2">
        <v>42768</v>
      </c>
      <c r="F161" s="1" t="str">
        <f>INDEX('Sheet5 (2)'!$A$1:$A$201,MATCH(A161,'Sheet5 (2)'!$D$1:$D$201,0))</f>
        <v>8 Doranda Road</v>
      </c>
      <c r="G161" s="1" t="str">
        <f>INDEX('Sheet5 (2)'!$B$1:$B$201,MATCH(A161,'Sheet5 (2)'!$D$1:$D$201,0))</f>
        <v xml:space="preserve"> Ranchi</v>
      </c>
      <c r="H161" s="1" t="str">
        <f>INDEX('Sheet5 (2)'!$C$1:$C$201,MATCH(Table3[[#This Row],[EmpID]],'Sheet5 (2)'!$D$1:$D$201,0))</f>
        <v xml:space="preserve"> Jharkhand</v>
      </c>
      <c r="I161" s="7"/>
    </row>
    <row r="162" spans="1:9" x14ac:dyDescent="0.3">
      <c r="A162" s="6" t="s">
        <v>175</v>
      </c>
      <c r="B162" s="1" t="s">
        <v>375</v>
      </c>
      <c r="C162" s="1" t="s">
        <v>6</v>
      </c>
      <c r="D162" s="1">
        <v>52000</v>
      </c>
      <c r="E162" s="2">
        <v>43758</v>
      </c>
      <c r="F162" s="1" t="str">
        <f>INDEX('Sheet5 (2)'!$A$1:$A$201,MATCH(A162,'Sheet5 (2)'!$D$1:$D$201,0))</f>
        <v>13 Rasulgarh</v>
      </c>
      <c r="G162" s="1" t="str">
        <f>INDEX('Sheet5 (2)'!$B$1:$B$201,MATCH(A162,'Sheet5 (2)'!$D$1:$D$201,0))</f>
        <v xml:space="preserve"> Bhubaneswar</v>
      </c>
      <c r="H162" s="1" t="str">
        <f>INDEX('Sheet5 (2)'!$C$1:$C$201,MATCH(Table3[[#This Row],[EmpID]],'Sheet5 (2)'!$D$1:$D$201,0))</f>
        <v xml:space="preserve"> Odisha</v>
      </c>
      <c r="I162" s="7"/>
    </row>
    <row r="163" spans="1:9" x14ac:dyDescent="0.3">
      <c r="A163" s="6" t="s">
        <v>176</v>
      </c>
      <c r="B163" s="1" t="s">
        <v>376</v>
      </c>
      <c r="C163" s="1" t="s">
        <v>8</v>
      </c>
      <c r="D163" s="1">
        <v>48000</v>
      </c>
      <c r="E163" s="2">
        <v>43922</v>
      </c>
      <c r="F163" s="1" t="str">
        <f>INDEX('Sheet5 (2)'!$A$1:$A$201,MATCH(A163,'Sheet5 (2)'!$D$1:$D$201,0))</f>
        <v>5 Gandhipuram</v>
      </c>
      <c r="G163" s="1" t="str">
        <f>INDEX('Sheet5 (2)'!$B$1:$B$201,MATCH(A163,'Sheet5 (2)'!$D$1:$D$201,0))</f>
        <v xml:space="preserve"> Coimbatore</v>
      </c>
      <c r="H163" s="1" t="str">
        <f>INDEX('Sheet5 (2)'!$C$1:$C$201,MATCH(Table3[[#This Row],[EmpID]],'Sheet5 (2)'!$D$1:$D$201,0))</f>
        <v xml:space="preserve"> Tamil Nadu</v>
      </c>
      <c r="I163" s="7"/>
    </row>
    <row r="164" spans="1:9" x14ac:dyDescent="0.3">
      <c r="A164" s="6" t="s">
        <v>177</v>
      </c>
      <c r="B164" s="1" t="s">
        <v>377</v>
      </c>
      <c r="C164" s="1" t="s">
        <v>10</v>
      </c>
      <c r="D164" s="1">
        <v>75000</v>
      </c>
      <c r="E164" s="2">
        <v>43356</v>
      </c>
      <c r="F164" s="1" t="str">
        <f>INDEX('Sheet5 (2)'!$A$1:$A$201,MATCH(A164,'Sheet5 (2)'!$D$1:$D$201,0))</f>
        <v>6 Fort Kochi</v>
      </c>
      <c r="G164" s="1" t="str">
        <f>INDEX('Sheet5 (2)'!$B$1:$B$201,MATCH(A164,'Sheet5 (2)'!$D$1:$D$201,0))</f>
        <v xml:space="preserve"> Kochi</v>
      </c>
      <c r="H164" s="1" t="str">
        <f>INDEX('Sheet5 (2)'!$C$1:$C$201,MATCH(Table3[[#This Row],[EmpID]],'Sheet5 (2)'!$D$1:$D$201,0))</f>
        <v xml:space="preserve"> Kerala</v>
      </c>
      <c r="I164" s="7"/>
    </row>
    <row r="165" spans="1:9" x14ac:dyDescent="0.3">
      <c r="A165" s="6" t="s">
        <v>178</v>
      </c>
      <c r="B165" s="1" t="s">
        <v>378</v>
      </c>
      <c r="C165" s="1" t="s">
        <v>12</v>
      </c>
      <c r="D165" s="1">
        <v>61000</v>
      </c>
      <c r="E165" s="2">
        <v>44353</v>
      </c>
      <c r="F165" s="1" t="str">
        <f>INDEX('Sheet5 (2)'!$A$1:$A$201,MATCH(A165,'Sheet5 (2)'!$D$1:$D$201,0))</f>
        <v>18 Pattom</v>
      </c>
      <c r="G165" s="1" t="str">
        <f>INDEX('Sheet5 (2)'!$B$1:$B$201,MATCH(A165,'Sheet5 (2)'!$D$1:$D$201,0))</f>
        <v xml:space="preserve"> Thiruvananthapuram</v>
      </c>
      <c r="H165" s="1" t="str">
        <f>INDEX('Sheet5 (2)'!$C$1:$C$201,MATCH(Table3[[#This Row],[EmpID]],'Sheet5 (2)'!$D$1:$D$201,0))</f>
        <v xml:space="preserve"> Kerala</v>
      </c>
      <c r="I165" s="7"/>
    </row>
    <row r="166" spans="1:9" x14ac:dyDescent="0.3">
      <c r="A166" s="6" t="s">
        <v>179</v>
      </c>
      <c r="B166" s="1" t="s">
        <v>379</v>
      </c>
      <c r="C166" s="1" t="s">
        <v>14</v>
      </c>
      <c r="D166" s="1">
        <v>69000</v>
      </c>
      <c r="E166" s="2">
        <v>43066</v>
      </c>
      <c r="F166" s="1" t="str">
        <f>INDEX('Sheet5 (2)'!$A$1:$A$201,MATCH(A166,'Sheet5 (2)'!$D$1:$D$201,0))</f>
        <v>9 Nazarbad Road</v>
      </c>
      <c r="G166" s="1" t="str">
        <f>INDEX('Sheet5 (2)'!$B$1:$B$201,MATCH(A166,'Sheet5 (2)'!$D$1:$D$201,0))</f>
        <v xml:space="preserve"> Mysore</v>
      </c>
      <c r="H166" s="1" t="str">
        <f>INDEX('Sheet5 (2)'!$C$1:$C$201,MATCH(Table3[[#This Row],[EmpID]],'Sheet5 (2)'!$D$1:$D$201,0))</f>
        <v xml:space="preserve"> Karnataka</v>
      </c>
      <c r="I166" s="7"/>
    </row>
    <row r="167" spans="1:9" x14ac:dyDescent="0.3">
      <c r="A167" s="6" t="s">
        <v>180</v>
      </c>
      <c r="B167" s="1" t="s">
        <v>380</v>
      </c>
      <c r="C167" s="1" t="s">
        <v>16</v>
      </c>
      <c r="D167" s="1">
        <v>72000</v>
      </c>
      <c r="E167" s="2">
        <v>44576</v>
      </c>
      <c r="F167" s="1" t="str">
        <f>INDEX('Sheet5 (2)'!$A$1:$A$201,MATCH(A167,'Sheet5 (2)'!$D$1:$D$201,0))</f>
        <v>12 Dharampeth</v>
      </c>
      <c r="G167" s="1" t="str">
        <f>INDEX('Sheet5 (2)'!$B$1:$B$201,MATCH(A167,'Sheet5 (2)'!$D$1:$D$201,0))</f>
        <v xml:space="preserve"> Nagpur</v>
      </c>
      <c r="H167" s="1" t="str">
        <f>INDEX('Sheet5 (2)'!$C$1:$C$201,MATCH(Table3[[#This Row],[EmpID]],'Sheet5 (2)'!$D$1:$D$201,0))</f>
        <v xml:space="preserve"> Maharashtra</v>
      </c>
      <c r="I167" s="7"/>
    </row>
    <row r="168" spans="1:9" x14ac:dyDescent="0.3">
      <c r="A168" s="6" t="s">
        <v>181</v>
      </c>
      <c r="B168" s="1" t="s">
        <v>381</v>
      </c>
      <c r="C168" s="1" t="s">
        <v>18</v>
      </c>
      <c r="D168" s="1">
        <v>50000</v>
      </c>
      <c r="E168" s="2">
        <v>43532</v>
      </c>
      <c r="F168" s="1" t="str">
        <f>INDEX('Sheet5 (2)'!$A$1:$A$201,MATCH(A168,'Sheet5 (2)'!$D$1:$D$201,0))</f>
        <v>4 College Road</v>
      </c>
      <c r="G168" s="1" t="str">
        <f>INDEX('Sheet5 (2)'!$B$1:$B$201,MATCH(A168,'Sheet5 (2)'!$D$1:$D$201,0))</f>
        <v xml:space="preserve"> Nashik</v>
      </c>
      <c r="H168" s="1" t="str">
        <f>INDEX('Sheet5 (2)'!$C$1:$C$201,MATCH(Table3[[#This Row],[EmpID]],'Sheet5 (2)'!$D$1:$D$201,0))</f>
        <v xml:space="preserve"> Maharashtra</v>
      </c>
      <c r="I168" s="7"/>
    </row>
    <row r="169" spans="1:9" x14ac:dyDescent="0.3">
      <c r="A169" s="6" t="s">
        <v>182</v>
      </c>
      <c r="B169" s="1" t="s">
        <v>382</v>
      </c>
      <c r="C169" s="1" t="s">
        <v>20</v>
      </c>
      <c r="D169" s="1">
        <v>66000</v>
      </c>
      <c r="E169" s="2">
        <v>44063</v>
      </c>
      <c r="F169" s="1" t="str">
        <f>INDEX('Sheet5 (2)'!$A$1:$A$201,MATCH(A169,'Sheet5 (2)'!$D$1:$D$201,0))</f>
        <v>7 Sardarpura</v>
      </c>
      <c r="G169" s="1" t="str">
        <f>INDEX('Sheet5 (2)'!$B$1:$B$201,MATCH(A169,'Sheet5 (2)'!$D$1:$D$201,0))</f>
        <v xml:space="preserve"> Jodhpur</v>
      </c>
      <c r="H169" s="1" t="str">
        <f>INDEX('Sheet5 (2)'!$C$1:$C$201,MATCH(Table3[[#This Row],[EmpID]],'Sheet5 (2)'!$D$1:$D$201,0))</f>
        <v xml:space="preserve"> Rajasthan</v>
      </c>
      <c r="I169" s="7"/>
    </row>
    <row r="170" spans="1:9" x14ac:dyDescent="0.3">
      <c r="A170" s="6" t="s">
        <v>183</v>
      </c>
      <c r="B170" s="1" t="s">
        <v>383</v>
      </c>
      <c r="C170" s="1" t="s">
        <v>22</v>
      </c>
      <c r="D170" s="1">
        <v>58000</v>
      </c>
      <c r="E170" s="2">
        <v>42409</v>
      </c>
      <c r="F170" s="1" t="str">
        <f>INDEX('Sheet5 (2)'!$A$1:$A$201,MATCH(A170,'Sheet5 (2)'!$D$1:$D$201,0))</f>
        <v>16 Dewali</v>
      </c>
      <c r="G170" s="1" t="str">
        <f>INDEX('Sheet5 (2)'!$B$1:$B$201,MATCH(A170,'Sheet5 (2)'!$D$1:$D$201,0))</f>
        <v xml:space="preserve"> Udaipur</v>
      </c>
      <c r="H170" s="1" t="str">
        <f>INDEX('Sheet5 (2)'!$C$1:$C$201,MATCH(Table3[[#This Row],[EmpID]],'Sheet5 (2)'!$D$1:$D$201,0))</f>
        <v xml:space="preserve"> Rajasthan</v>
      </c>
      <c r="I170" s="7"/>
    </row>
    <row r="171" spans="1:9" x14ac:dyDescent="0.3">
      <c r="A171" s="6" t="s">
        <v>184</v>
      </c>
      <c r="B171" s="1" t="s">
        <v>384</v>
      </c>
      <c r="C171" s="1" t="s">
        <v>24</v>
      </c>
      <c r="D171" s="1">
        <v>45000</v>
      </c>
      <c r="E171" s="2">
        <v>42277</v>
      </c>
      <c r="F171" s="1" t="str">
        <f>INDEX('Sheet5 (2)'!$A$1:$A$201,MATCH(A171,'Sheet5 (2)'!$D$1:$D$201,0))</f>
        <v>10 Sanjay Place</v>
      </c>
      <c r="G171" s="1" t="str">
        <f>INDEX('Sheet5 (2)'!$B$1:$B$201,MATCH(A171,'Sheet5 (2)'!$D$1:$D$201,0))</f>
        <v xml:space="preserve"> Agra</v>
      </c>
      <c r="H171" s="1" t="str">
        <f>INDEX('Sheet5 (2)'!$C$1:$C$201,MATCH(Table3[[#This Row],[EmpID]],'Sheet5 (2)'!$D$1:$D$201,0))</f>
        <v xml:space="preserve"> Uttar Pradesh</v>
      </c>
      <c r="I171" s="7"/>
    </row>
    <row r="172" spans="1:9" x14ac:dyDescent="0.3">
      <c r="A172" s="6" t="s">
        <v>185</v>
      </c>
      <c r="B172" s="1" t="s">
        <v>385</v>
      </c>
      <c r="C172" s="1" t="s">
        <v>6</v>
      </c>
      <c r="D172" s="1">
        <v>80000</v>
      </c>
      <c r="E172" s="2">
        <v>43119</v>
      </c>
      <c r="F172" s="1" t="str">
        <f>INDEX('Sheet5 (2)'!$A$1:$A$201,MATCH(A172,'Sheet5 (2)'!$D$1:$D$201,0))</f>
        <v>2 Lanka Road</v>
      </c>
      <c r="G172" s="1" t="str">
        <f>INDEX('Sheet5 (2)'!$B$1:$B$201,MATCH(A172,'Sheet5 (2)'!$D$1:$D$201,0))</f>
        <v xml:space="preserve"> Varanasi</v>
      </c>
      <c r="H172" s="1" t="str">
        <f>INDEX('Sheet5 (2)'!$C$1:$C$201,MATCH(Table3[[#This Row],[EmpID]],'Sheet5 (2)'!$D$1:$D$201,0))</f>
        <v xml:space="preserve"> Uttar Pradesh</v>
      </c>
      <c r="I172" s="7"/>
    </row>
    <row r="173" spans="1:9" x14ac:dyDescent="0.3">
      <c r="A173" s="6" t="s">
        <v>186</v>
      </c>
      <c r="B173" s="1" t="s">
        <v>386</v>
      </c>
      <c r="C173" s="1" t="s">
        <v>8</v>
      </c>
      <c r="D173" s="1">
        <v>54000</v>
      </c>
      <c r="E173" s="2">
        <v>42822</v>
      </c>
      <c r="F173" s="1" t="str">
        <f>INDEX('Sheet5 (2)'!$A$1:$A$201,MATCH(A173,'Sheet5 (2)'!$D$1:$D$201,0))</f>
        <v>14 Shastri Nagar</v>
      </c>
      <c r="G173" s="1" t="str">
        <f>INDEX('Sheet5 (2)'!$B$1:$B$201,MATCH(A173,'Sheet5 (2)'!$D$1:$D$201,0))</f>
        <v xml:space="preserve"> Meerut</v>
      </c>
      <c r="H173" s="1" t="str">
        <f>INDEX('Sheet5 (2)'!$C$1:$C$201,MATCH(Table3[[#This Row],[EmpID]],'Sheet5 (2)'!$D$1:$D$201,0))</f>
        <v xml:space="preserve"> Uttar Pradesh</v>
      </c>
      <c r="I173" s="7"/>
    </row>
    <row r="174" spans="1:9" x14ac:dyDescent="0.3">
      <c r="A174" s="6" t="s">
        <v>187</v>
      </c>
      <c r="B174" s="1" t="s">
        <v>387</v>
      </c>
      <c r="C174" s="1" t="s">
        <v>10</v>
      </c>
      <c r="D174" s="1">
        <v>47000</v>
      </c>
      <c r="E174" s="2">
        <v>44325</v>
      </c>
      <c r="F174" s="1" t="str">
        <f>INDEX('Sheet5 (2)'!$A$1:$A$201,MATCH(A174,'Sheet5 (2)'!$D$1:$D$201,0))</f>
        <v>11 Ferozepur Road</v>
      </c>
      <c r="G174" s="1" t="str">
        <f>INDEX('Sheet5 (2)'!$B$1:$B$201,MATCH(A174,'Sheet5 (2)'!$D$1:$D$201,0))</f>
        <v xml:space="preserve"> Ludhiana</v>
      </c>
      <c r="H174" s="1" t="str">
        <f>INDEX('Sheet5 (2)'!$C$1:$C$201,MATCH(Table3[[#This Row],[EmpID]],'Sheet5 (2)'!$D$1:$D$201,0))</f>
        <v xml:space="preserve"> Punjab</v>
      </c>
      <c r="I174" s="7"/>
    </row>
    <row r="175" spans="1:9" x14ac:dyDescent="0.3">
      <c r="A175" s="6" t="s">
        <v>188</v>
      </c>
      <c r="B175" s="1" t="s">
        <v>388</v>
      </c>
      <c r="C175" s="1" t="s">
        <v>12</v>
      </c>
      <c r="D175" s="1">
        <v>90000</v>
      </c>
      <c r="E175" s="2">
        <v>42535</v>
      </c>
      <c r="F175" s="1" t="str">
        <f>INDEX('Sheet5 (2)'!$A$1:$A$201,MATCH(A175,'Sheet5 (2)'!$D$1:$D$201,0))</f>
        <v>6 Lawrence Road</v>
      </c>
      <c r="G175" s="1" t="str">
        <f>INDEX('Sheet5 (2)'!$B$1:$B$201,MATCH(A175,'Sheet5 (2)'!$D$1:$D$201,0))</f>
        <v xml:space="preserve"> Amritsar</v>
      </c>
      <c r="H175" s="1" t="str">
        <f>INDEX('Sheet5 (2)'!$C$1:$C$201,MATCH(Table3[[#This Row],[EmpID]],'Sheet5 (2)'!$D$1:$D$201,0))</f>
        <v xml:space="preserve"> Punjab</v>
      </c>
      <c r="I175" s="7"/>
    </row>
    <row r="176" spans="1:9" x14ac:dyDescent="0.3">
      <c r="A176" s="6" t="s">
        <v>189</v>
      </c>
      <c r="B176" s="1" t="s">
        <v>389</v>
      </c>
      <c r="C176" s="1" t="s">
        <v>14</v>
      </c>
      <c r="D176" s="1">
        <v>62000</v>
      </c>
      <c r="E176" s="2">
        <v>43669</v>
      </c>
      <c r="F176" s="1" t="str">
        <f>INDEX('Sheet5 (2)'!$A$1:$A$201,MATCH(A176,'Sheet5 (2)'!$D$1:$D$201,0))</f>
        <v>8 Model Town</v>
      </c>
      <c r="G176" s="1" t="str">
        <f>INDEX('Sheet5 (2)'!$B$1:$B$201,MATCH(A176,'Sheet5 (2)'!$D$1:$D$201,0))</f>
        <v xml:space="preserve"> Jalandhar</v>
      </c>
      <c r="H176" s="1" t="str">
        <f>INDEX('Sheet5 (2)'!$C$1:$C$201,MATCH(Table3[[#This Row],[EmpID]],'Sheet5 (2)'!$D$1:$D$201,0))</f>
        <v xml:space="preserve"> Punjab</v>
      </c>
      <c r="I176" s="7"/>
    </row>
    <row r="177" spans="1:9" x14ac:dyDescent="0.3">
      <c r="A177" s="6" t="s">
        <v>190</v>
      </c>
      <c r="B177" s="1" t="s">
        <v>390</v>
      </c>
      <c r="C177" s="1" t="s">
        <v>16</v>
      </c>
      <c r="D177" s="1">
        <v>73000</v>
      </c>
      <c r="E177" s="2">
        <v>44139</v>
      </c>
      <c r="F177" s="1" t="str">
        <f>INDEX('Sheet5 (2)'!$A$1:$A$201,MATCH(A177,'Sheet5 (2)'!$D$1:$D$201,0))</f>
        <v>20 Rajpur Road</v>
      </c>
      <c r="G177" s="1" t="str">
        <f>INDEX('Sheet5 (2)'!$B$1:$B$201,MATCH(A177,'Sheet5 (2)'!$D$1:$D$201,0))</f>
        <v xml:space="preserve"> Dehradun</v>
      </c>
      <c r="H177" s="1" t="str">
        <f>INDEX('Sheet5 (2)'!$C$1:$C$201,MATCH(Table3[[#This Row],[EmpID]],'Sheet5 (2)'!$D$1:$D$201,0))</f>
        <v xml:space="preserve"> Uttarakhand</v>
      </c>
      <c r="I177" s="7"/>
    </row>
    <row r="178" spans="1:9" x14ac:dyDescent="0.3">
      <c r="A178" s="6" t="s">
        <v>191</v>
      </c>
      <c r="B178" s="1" t="s">
        <v>391</v>
      </c>
      <c r="C178" s="1" t="s">
        <v>18</v>
      </c>
      <c r="D178" s="1">
        <v>56000</v>
      </c>
      <c r="E178" s="2">
        <v>42217</v>
      </c>
      <c r="F178" s="1" t="str">
        <f>INDEX('Sheet5 (2)'!$A$1:$A$201,MATCH(A178,'Sheet5 (2)'!$D$1:$D$201,0))</f>
        <v>3 The Mall</v>
      </c>
      <c r="G178" s="1" t="str">
        <f>INDEX('Sheet5 (2)'!$B$1:$B$201,MATCH(A178,'Sheet5 (2)'!$D$1:$D$201,0))</f>
        <v xml:space="preserve"> Shimla</v>
      </c>
      <c r="H178" s="1" t="str">
        <f>INDEX('Sheet5 (2)'!$C$1:$C$201,MATCH(Table3[[#This Row],[EmpID]],'Sheet5 (2)'!$D$1:$D$201,0))</f>
        <v xml:space="preserve"> Himachal Pradesh</v>
      </c>
      <c r="I178" s="7"/>
    </row>
    <row r="179" spans="1:9" x14ac:dyDescent="0.3">
      <c r="A179" s="6" t="s">
        <v>192</v>
      </c>
      <c r="B179" s="1" t="s">
        <v>392</v>
      </c>
      <c r="C179" s="1" t="s">
        <v>20</v>
      </c>
      <c r="D179" s="1">
        <v>67000</v>
      </c>
      <c r="E179" s="2">
        <v>43169</v>
      </c>
      <c r="F179" s="1" t="str">
        <f>INDEX('Sheet5 (2)'!$A$1:$A$201,MATCH(A179,'Sheet5 (2)'!$D$1:$D$201,0))</f>
        <v>9 Lal Chowk</v>
      </c>
      <c r="G179" s="1" t="str">
        <f>INDEX('Sheet5 (2)'!$B$1:$B$201,MATCH(A179,'Sheet5 (2)'!$D$1:$D$201,0))</f>
        <v xml:space="preserve"> Srinagar</v>
      </c>
      <c r="H179" s="1" t="str">
        <f>INDEX('Sheet5 (2)'!$C$1:$C$201,MATCH(Table3[[#This Row],[EmpID]],'Sheet5 (2)'!$D$1:$D$201,0))</f>
        <v xml:space="preserve"> Jammu and Kashmir</v>
      </c>
      <c r="I179" s="7"/>
    </row>
    <row r="180" spans="1:9" x14ac:dyDescent="0.3">
      <c r="A180" s="6" t="s">
        <v>193</v>
      </c>
      <c r="B180" s="1" t="s">
        <v>393</v>
      </c>
      <c r="C180" s="1" t="s">
        <v>22</v>
      </c>
      <c r="D180" s="1">
        <v>71000</v>
      </c>
      <c r="E180" s="2">
        <v>44740</v>
      </c>
      <c r="F180" s="1" t="str">
        <f>INDEX('Sheet5 (2)'!$A$1:$A$201,MATCH(A180,'Sheet5 (2)'!$D$1:$D$201,0))</f>
        <v>5 GS Road</v>
      </c>
      <c r="G180" s="1" t="str">
        <f>INDEX('Sheet5 (2)'!$B$1:$B$201,MATCH(A180,'Sheet5 (2)'!$D$1:$D$201,0))</f>
        <v xml:space="preserve"> Guwahati</v>
      </c>
      <c r="H180" s="1" t="str">
        <f>INDEX('Sheet5 (2)'!$C$1:$C$201,MATCH(Table3[[#This Row],[EmpID]],'Sheet5 (2)'!$D$1:$D$201,0))</f>
        <v xml:space="preserve"> Assam</v>
      </c>
      <c r="I180" s="7"/>
    </row>
    <row r="181" spans="1:9" x14ac:dyDescent="0.3">
      <c r="A181" s="6" t="s">
        <v>194</v>
      </c>
      <c r="B181" s="1" t="s">
        <v>394</v>
      </c>
      <c r="C181" s="1" t="s">
        <v>24</v>
      </c>
      <c r="D181" s="1">
        <v>64000</v>
      </c>
      <c r="E181" s="2">
        <v>42737</v>
      </c>
      <c r="F181" s="1" t="str">
        <f>INDEX('Sheet5 (2)'!$A$1:$A$201,MATCH(A181,'Sheet5 (2)'!$D$1:$D$201,0))</f>
        <v>12 Thangal Bazar</v>
      </c>
      <c r="G181" s="1" t="str">
        <f>INDEX('Sheet5 (2)'!$B$1:$B$201,MATCH(A181,'Sheet5 (2)'!$D$1:$D$201,0))</f>
        <v xml:space="preserve"> Imphal</v>
      </c>
      <c r="H181" s="1" t="str">
        <f>INDEX('Sheet5 (2)'!$C$1:$C$201,MATCH(Table3[[#This Row],[EmpID]],'Sheet5 (2)'!$D$1:$D$201,0))</f>
        <v xml:space="preserve"> Manipur</v>
      </c>
      <c r="I181" s="7"/>
    </row>
    <row r="182" spans="1:9" x14ac:dyDescent="0.3">
      <c r="A182" s="6" t="s">
        <v>195</v>
      </c>
      <c r="B182" s="1" t="s">
        <v>395</v>
      </c>
      <c r="C182" s="1" t="s">
        <v>6</v>
      </c>
      <c r="D182" s="1">
        <v>52000</v>
      </c>
      <c r="E182" s="2">
        <v>43622</v>
      </c>
      <c r="F182" s="1" t="str">
        <f>INDEX('Sheet5 (2)'!$A$1:$A$201,MATCH(A182,'Sheet5 (2)'!$D$1:$D$201,0))</f>
        <v>7 VIP Road</v>
      </c>
      <c r="G182" s="1" t="str">
        <f>INDEX('Sheet5 (2)'!$B$1:$B$201,MATCH(A182,'Sheet5 (2)'!$D$1:$D$201,0))</f>
        <v xml:space="preserve"> Itanagar</v>
      </c>
      <c r="H182" s="1" t="str">
        <f>INDEX('Sheet5 (2)'!$C$1:$C$201,MATCH(Table3[[#This Row],[EmpID]],'Sheet5 (2)'!$D$1:$D$201,0))</f>
        <v xml:space="preserve"> Arunachal Pradesh</v>
      </c>
      <c r="I182" s="7"/>
    </row>
    <row r="183" spans="1:9" x14ac:dyDescent="0.3">
      <c r="A183" s="6" t="s">
        <v>196</v>
      </c>
      <c r="B183" s="1" t="s">
        <v>396</v>
      </c>
      <c r="C183" s="1" t="s">
        <v>8</v>
      </c>
      <c r="D183" s="1">
        <v>48000</v>
      </c>
      <c r="E183" s="2">
        <v>44091</v>
      </c>
      <c r="F183" s="1" t="str">
        <f>INDEX('Sheet5 (2)'!$A$1:$A$201,MATCH(A183,'Sheet5 (2)'!$D$1:$D$201,0))</f>
        <v>4 Kohima Road</v>
      </c>
      <c r="G183" s="1" t="str">
        <f>INDEX('Sheet5 (2)'!$B$1:$B$201,MATCH(A183,'Sheet5 (2)'!$D$1:$D$201,0))</f>
        <v xml:space="preserve"> Kohima</v>
      </c>
      <c r="H183" s="1" t="str">
        <f>INDEX('Sheet5 (2)'!$C$1:$C$201,MATCH(Table3[[#This Row],[EmpID]],'Sheet5 (2)'!$D$1:$D$201,0))</f>
        <v xml:space="preserve"> Nagaland</v>
      </c>
      <c r="I183" s="7"/>
    </row>
    <row r="184" spans="1:9" x14ac:dyDescent="0.3">
      <c r="A184" s="6" t="s">
        <v>197</v>
      </c>
      <c r="B184" s="1" t="s">
        <v>397</v>
      </c>
      <c r="C184" s="1" t="s">
        <v>10</v>
      </c>
      <c r="D184" s="1">
        <v>75000</v>
      </c>
      <c r="E184" s="2">
        <v>43156</v>
      </c>
      <c r="F184" s="1" t="str">
        <f>INDEX('Sheet5 (2)'!$A$1:$A$201,MATCH(A184,'Sheet5 (2)'!$D$1:$D$201,0))</f>
        <v>15 Zarkawt</v>
      </c>
      <c r="G184" s="1" t="str">
        <f>INDEX('Sheet5 (2)'!$B$1:$B$201,MATCH(A184,'Sheet5 (2)'!$D$1:$D$201,0))</f>
        <v xml:space="preserve"> Aizawl</v>
      </c>
      <c r="H184" s="1" t="str">
        <f>INDEX('Sheet5 (2)'!$C$1:$C$201,MATCH(Table3[[#This Row],[EmpID]],'Sheet5 (2)'!$D$1:$D$201,0))</f>
        <v xml:space="preserve"> Mizoram</v>
      </c>
      <c r="I184" s="7"/>
    </row>
    <row r="185" spans="1:9" x14ac:dyDescent="0.3">
      <c r="A185" s="6" t="s">
        <v>198</v>
      </c>
      <c r="B185" s="1" t="s">
        <v>398</v>
      </c>
      <c r="C185" s="1" t="s">
        <v>12</v>
      </c>
      <c r="D185" s="1">
        <v>61000</v>
      </c>
      <c r="E185" s="2">
        <v>44439</v>
      </c>
      <c r="F185" s="1" t="str">
        <f>INDEX('Sheet5 (2)'!$A$1:$A$201,MATCH(A185,'Sheet5 (2)'!$D$1:$D$201,0))</f>
        <v>6 Aberdeen Bazaar</v>
      </c>
      <c r="G185" s="1" t="str">
        <f>INDEX('Sheet5 (2)'!$B$1:$B$201,MATCH(A185,'Sheet5 (2)'!$D$1:$D$201,0))</f>
        <v xml:space="preserve"> Port Blair</v>
      </c>
      <c r="H185" s="1" t="str">
        <f>INDEX('Sheet5 (2)'!$C$1:$C$201,MATCH(Table3[[#This Row],[EmpID]],'Sheet5 (2)'!$D$1:$D$201,0))</f>
        <v xml:space="preserve"> Andaman and Nicobar Islands</v>
      </c>
      <c r="I185" s="7"/>
    </row>
    <row r="186" spans="1:9" x14ac:dyDescent="0.3">
      <c r="A186" s="6" t="s">
        <v>199</v>
      </c>
      <c r="B186" s="1" t="s">
        <v>399</v>
      </c>
      <c r="C186" s="1" t="s">
        <v>14</v>
      </c>
      <c r="D186" s="1">
        <v>69000</v>
      </c>
      <c r="E186" s="2">
        <v>42837</v>
      </c>
      <c r="F186" s="1" t="str">
        <f>INDEX('Sheet5 (2)'!$A$1:$A$201,MATCH(A186,'Sheet5 (2)'!$D$1:$D$201,0))</f>
        <v>21 MG Road</v>
      </c>
      <c r="G186" s="1" t="str">
        <f>INDEX('Sheet5 (2)'!$B$1:$B$201,MATCH(A186,'Sheet5 (2)'!$D$1:$D$201,0))</f>
        <v xml:space="preserve"> New Delhi</v>
      </c>
      <c r="H186" s="1" t="str">
        <f>INDEX('Sheet5 (2)'!$C$1:$C$201,MATCH(Table3[[#This Row],[EmpID]],'Sheet5 (2)'!$D$1:$D$201,0))</f>
        <v xml:space="preserve"> Delhi</v>
      </c>
      <c r="I186" s="7"/>
    </row>
    <row r="187" spans="1:9" x14ac:dyDescent="0.3">
      <c r="A187" s="6" t="s">
        <v>200</v>
      </c>
      <c r="B187" s="1" t="s">
        <v>400</v>
      </c>
      <c r="C187" s="1" t="s">
        <v>16</v>
      </c>
      <c r="D187" s="1">
        <v>72000</v>
      </c>
      <c r="E187" s="2">
        <v>44656</v>
      </c>
      <c r="F187" s="1" t="str">
        <f>INDEX('Sheet5 (2)'!$A$1:$A$201,MATCH(A187,'Sheet5 (2)'!$D$1:$D$201,0))</f>
        <v>28 Park Street</v>
      </c>
      <c r="G187" s="1" t="str">
        <f>INDEX('Sheet5 (2)'!$B$1:$B$201,MATCH(A187,'Sheet5 (2)'!$D$1:$D$201,0))</f>
        <v xml:space="preserve"> Kolkata</v>
      </c>
      <c r="H187" s="1" t="str">
        <f>INDEX('Sheet5 (2)'!$C$1:$C$201,MATCH(Table3[[#This Row],[EmpID]],'Sheet5 (2)'!$D$1:$D$201,0))</f>
        <v xml:space="preserve"> West Bengal</v>
      </c>
      <c r="I187" s="7"/>
    </row>
    <row r="188" spans="1:9" x14ac:dyDescent="0.3">
      <c r="A188" s="6" t="s">
        <v>201</v>
      </c>
      <c r="B188" s="1" t="s">
        <v>401</v>
      </c>
      <c r="C188" s="1" t="s">
        <v>18</v>
      </c>
      <c r="D188" s="1">
        <v>50000</v>
      </c>
      <c r="E188" s="2">
        <v>43827</v>
      </c>
      <c r="F188" s="1" t="str">
        <f>INDEX('Sheet5 (2)'!$A$1:$A$201,MATCH(A188,'Sheet5 (2)'!$D$1:$D$201,0))</f>
        <v>10 Brigade Road</v>
      </c>
      <c r="G188" s="1" t="str">
        <f>INDEX('Sheet5 (2)'!$B$1:$B$201,MATCH(A188,'Sheet5 (2)'!$D$1:$D$201,0))</f>
        <v xml:space="preserve"> Bangalore</v>
      </c>
      <c r="H188" s="1" t="str">
        <f>INDEX('Sheet5 (2)'!$C$1:$C$201,MATCH(Table3[[#This Row],[EmpID]],'Sheet5 (2)'!$D$1:$D$201,0))</f>
        <v xml:space="preserve"> Karnataka</v>
      </c>
      <c r="I188" s="7"/>
    </row>
    <row r="189" spans="1:9" x14ac:dyDescent="0.3">
      <c r="A189" s="6" t="s">
        <v>202</v>
      </c>
      <c r="B189" s="1" t="s">
        <v>402</v>
      </c>
      <c r="C189" s="1" t="s">
        <v>20</v>
      </c>
      <c r="D189" s="1">
        <v>66000</v>
      </c>
      <c r="E189" s="2">
        <v>44004</v>
      </c>
      <c r="F189" s="1" t="str">
        <f>INDEX('Sheet5 (2)'!$A$1:$A$201,MATCH(A189,'Sheet5 (2)'!$D$1:$D$201,0))</f>
        <v>17 Anna Salai</v>
      </c>
      <c r="G189" s="1" t="str">
        <f>INDEX('Sheet5 (2)'!$B$1:$B$201,MATCH(A189,'Sheet5 (2)'!$D$1:$D$201,0))</f>
        <v xml:space="preserve"> Chennai</v>
      </c>
      <c r="H189" s="1" t="str">
        <f>INDEX('Sheet5 (2)'!$C$1:$C$201,MATCH(Table3[[#This Row],[EmpID]],'Sheet5 (2)'!$D$1:$D$201,0))</f>
        <v xml:space="preserve"> Tamil Nadu</v>
      </c>
      <c r="I189" s="7"/>
    </row>
    <row r="190" spans="1:9" x14ac:dyDescent="0.3">
      <c r="A190" s="6" t="s">
        <v>203</v>
      </c>
      <c r="B190" s="1" t="s">
        <v>403</v>
      </c>
      <c r="C190" s="1" t="s">
        <v>22</v>
      </c>
      <c r="D190" s="1">
        <v>58000</v>
      </c>
      <c r="E190" s="2">
        <v>42566</v>
      </c>
      <c r="F190" s="1" t="str">
        <f>INDEX('Sheet5 (2)'!$A$1:$A$201,MATCH(A190,'Sheet5 (2)'!$D$1:$D$201,0))</f>
        <v>13 Marine Drive</v>
      </c>
      <c r="G190" s="1" t="str">
        <f>INDEX('Sheet5 (2)'!$B$1:$B$201,MATCH(A190,'Sheet5 (2)'!$D$1:$D$201,0))</f>
        <v xml:space="preserve"> Mumbai</v>
      </c>
      <c r="H190" s="1" t="str">
        <f>INDEX('Sheet5 (2)'!$C$1:$C$201,MATCH(Table3[[#This Row],[EmpID]],'Sheet5 (2)'!$D$1:$D$201,0))</f>
        <v xml:space="preserve"> Maharashtra</v>
      </c>
      <c r="I190" s="7"/>
    </row>
    <row r="191" spans="1:9" x14ac:dyDescent="0.3">
      <c r="A191" s="6" t="s">
        <v>204</v>
      </c>
      <c r="B191" s="1" t="s">
        <v>404</v>
      </c>
      <c r="C191" s="1" t="s">
        <v>24</v>
      </c>
      <c r="D191" s="1">
        <v>45000</v>
      </c>
      <c r="E191" s="2">
        <v>42030</v>
      </c>
      <c r="F191" s="1" t="str">
        <f>INDEX('Sheet5 (2)'!$A$1:$A$201,MATCH(A191,'Sheet5 (2)'!$D$1:$D$201,0))</f>
        <v>8 Koregaon Park</v>
      </c>
      <c r="G191" s="1" t="str">
        <f>INDEX('Sheet5 (2)'!$B$1:$B$201,MATCH(A191,'Sheet5 (2)'!$D$1:$D$201,0))</f>
        <v xml:space="preserve"> Pune</v>
      </c>
      <c r="H191" s="1" t="str">
        <f>INDEX('Sheet5 (2)'!$C$1:$C$201,MATCH(Table3[[#This Row],[EmpID]],'Sheet5 (2)'!$D$1:$D$201,0))</f>
        <v xml:space="preserve"> Maharashtra</v>
      </c>
      <c r="I191" s="7"/>
    </row>
    <row r="192" spans="1:9" x14ac:dyDescent="0.3">
      <c r="A192" s="6" t="s">
        <v>205</v>
      </c>
      <c r="B192" s="1" t="s">
        <v>405</v>
      </c>
      <c r="C192" s="1" t="s">
        <v>6</v>
      </c>
      <c r="D192" s="1">
        <v>80000</v>
      </c>
      <c r="E192" s="2">
        <v>43382</v>
      </c>
      <c r="F192" s="1" t="str">
        <f>INDEX('Sheet5 (2)'!$A$1:$A$201,MATCH(A192,'Sheet5 (2)'!$D$1:$D$201,0))</f>
        <v>6 Banjara Hills</v>
      </c>
      <c r="G192" s="1" t="str">
        <f>INDEX('Sheet5 (2)'!$B$1:$B$201,MATCH(A192,'Sheet5 (2)'!$D$1:$D$201,0))</f>
        <v xml:space="preserve"> Hyderabad</v>
      </c>
      <c r="H192" s="1" t="str">
        <f>INDEX('Sheet5 (2)'!$C$1:$C$201,MATCH(Table3[[#This Row],[EmpID]],'Sheet5 (2)'!$D$1:$D$201,0))</f>
        <v xml:space="preserve"> Telangana</v>
      </c>
      <c r="I192" s="7"/>
    </row>
    <row r="193" spans="1:9" x14ac:dyDescent="0.3">
      <c r="A193" s="6" t="s">
        <v>206</v>
      </c>
      <c r="B193" s="1" t="s">
        <v>406</v>
      </c>
      <c r="C193" s="1" t="s">
        <v>8</v>
      </c>
      <c r="D193" s="1">
        <v>54000</v>
      </c>
      <c r="E193" s="2">
        <v>42873</v>
      </c>
      <c r="F193" s="1" t="str">
        <f>INDEX('Sheet5 (2)'!$A$1:$A$201,MATCH(A193,'Sheet5 (2)'!$D$1:$D$201,0))</f>
        <v>19 CG Road</v>
      </c>
      <c r="G193" s="1" t="str">
        <f>INDEX('Sheet5 (2)'!$B$1:$B$201,MATCH(A193,'Sheet5 (2)'!$D$1:$D$201,0))</f>
        <v xml:space="preserve"> Ahmedabad</v>
      </c>
      <c r="H193" s="1" t="str">
        <f>INDEX('Sheet5 (2)'!$C$1:$C$201,MATCH(Table3[[#This Row],[EmpID]],'Sheet5 (2)'!$D$1:$D$201,0))</f>
        <v xml:space="preserve"> Gujarat</v>
      </c>
      <c r="I193" s="7"/>
    </row>
    <row r="194" spans="1:9" x14ac:dyDescent="0.3">
      <c r="A194" s="6" t="s">
        <v>207</v>
      </c>
      <c r="B194" s="1" t="s">
        <v>407</v>
      </c>
      <c r="C194" s="1" t="s">
        <v>10</v>
      </c>
      <c r="D194" s="1">
        <v>47000</v>
      </c>
      <c r="E194" s="2">
        <v>44378</v>
      </c>
      <c r="F194" s="1" t="str">
        <f>INDEX('Sheet5 (2)'!$A$1:$A$201,MATCH(A194,'Sheet5 (2)'!$D$1:$D$201,0))</f>
        <v>11 Hazratganj</v>
      </c>
      <c r="G194" s="1" t="str">
        <f>INDEX('Sheet5 (2)'!$B$1:$B$201,MATCH(A194,'Sheet5 (2)'!$D$1:$D$201,0))</f>
        <v xml:space="preserve"> Lucknow</v>
      </c>
      <c r="H194" s="1" t="str">
        <f>INDEX('Sheet5 (2)'!$C$1:$C$201,MATCH(Table3[[#This Row],[EmpID]],'Sheet5 (2)'!$D$1:$D$201,0))</f>
        <v xml:space="preserve"> Uttar Pradesh</v>
      </c>
      <c r="I194" s="7"/>
    </row>
    <row r="195" spans="1:9" x14ac:dyDescent="0.3">
      <c r="A195" s="6" t="s">
        <v>208</v>
      </c>
      <c r="B195" s="1" t="s">
        <v>408</v>
      </c>
      <c r="C195" s="1" t="s">
        <v>12</v>
      </c>
      <c r="D195" s="1">
        <v>90000</v>
      </c>
      <c r="E195" s="2">
        <v>42715</v>
      </c>
      <c r="F195" s="1" t="str">
        <f>INDEX('Sheet5 (2)'!$A$1:$A$201,MATCH(A195,'Sheet5 (2)'!$D$1:$D$201,0))</f>
        <v>5 MI Road</v>
      </c>
      <c r="G195" s="1" t="str">
        <f>INDEX('Sheet5 (2)'!$B$1:$B$201,MATCH(A195,'Sheet5 (2)'!$D$1:$D$201,0))</f>
        <v xml:space="preserve"> Jaipur</v>
      </c>
      <c r="H195" s="1" t="str">
        <f>INDEX('Sheet5 (2)'!$C$1:$C$201,MATCH(Table3[[#This Row],[EmpID]],'Sheet5 (2)'!$D$1:$D$201,0))</f>
        <v xml:space="preserve"> Rajasthan</v>
      </c>
      <c r="I195" s="7"/>
    </row>
    <row r="196" spans="1:9" x14ac:dyDescent="0.3">
      <c r="A196" s="6" t="s">
        <v>209</v>
      </c>
      <c r="B196" s="1" t="s">
        <v>409</v>
      </c>
      <c r="C196" s="1" t="s">
        <v>14</v>
      </c>
      <c r="D196" s="1">
        <v>62000</v>
      </c>
      <c r="E196" s="2">
        <v>43553</v>
      </c>
      <c r="F196" s="1" t="str">
        <f>INDEX('Sheet5 (2)'!$A$1:$A$201,MATCH(A196,'Sheet5 (2)'!$D$1:$D$201,0))</f>
        <v>14 Sector 17</v>
      </c>
      <c r="G196" s="1" t="str">
        <f>INDEX('Sheet5 (2)'!$B$1:$B$201,MATCH(A196,'Sheet5 (2)'!$D$1:$D$201,0))</f>
        <v xml:space="preserve"> Chandigarh</v>
      </c>
      <c r="H196" s="1" t="str">
        <f>INDEX('Sheet5 (2)'!$C$1:$C$201,MATCH(Table3[[#This Row],[EmpID]],'Sheet5 (2)'!$D$1:$D$201,0))</f>
        <v xml:space="preserve"> Chandigarh</v>
      </c>
      <c r="I196" s="7"/>
    </row>
    <row r="197" spans="1:9" x14ac:dyDescent="0.3">
      <c r="A197" s="6" t="s">
        <v>210</v>
      </c>
      <c r="B197" s="1" t="s">
        <v>410</v>
      </c>
      <c r="C197" s="1" t="s">
        <v>16</v>
      </c>
      <c r="D197" s="1">
        <v>73000</v>
      </c>
      <c r="E197" s="2">
        <v>43971</v>
      </c>
      <c r="F197" s="1" t="str">
        <f>INDEX('Sheet5 (2)'!$A$1:$A$201,MATCH(A197,'Sheet5 (2)'!$D$1:$D$201,0))</f>
        <v>9 Udyog Vihar</v>
      </c>
      <c r="G197" s="1" t="str">
        <f>INDEX('Sheet5 (2)'!$B$1:$B$201,MATCH(A197,'Sheet5 (2)'!$D$1:$D$201,0))</f>
        <v xml:space="preserve"> Gurgaon</v>
      </c>
      <c r="H197" s="1" t="str">
        <f>INDEX('Sheet5 (2)'!$C$1:$C$201,MATCH(Table3[[#This Row],[EmpID]],'Sheet5 (2)'!$D$1:$D$201,0))</f>
        <v xml:space="preserve"> Haryana</v>
      </c>
      <c r="I197" s="7"/>
    </row>
    <row r="198" spans="1:9" x14ac:dyDescent="0.3">
      <c r="A198" s="6" t="s">
        <v>211</v>
      </c>
      <c r="B198" s="1" t="s">
        <v>411</v>
      </c>
      <c r="C198" s="1" t="s">
        <v>18</v>
      </c>
      <c r="D198" s="1">
        <v>56000</v>
      </c>
      <c r="E198" s="2">
        <v>42283</v>
      </c>
      <c r="F198" s="1" t="str">
        <f>INDEX('Sheet5 (2)'!$A$1:$A$201,MATCH(A198,'Sheet5 (2)'!$D$1:$D$201,0))</f>
        <v>4 Sector 18</v>
      </c>
      <c r="G198" s="1" t="str">
        <f>INDEX('Sheet5 (2)'!$B$1:$B$201,MATCH(A198,'Sheet5 (2)'!$D$1:$D$201,0))</f>
        <v xml:space="preserve"> Noida</v>
      </c>
      <c r="H198" s="1" t="str">
        <f>INDEX('Sheet5 (2)'!$C$1:$C$201,MATCH(Table3[[#This Row],[EmpID]],'Sheet5 (2)'!$D$1:$D$201,0))</f>
        <v xml:space="preserve"> Uttar Pradesh</v>
      </c>
      <c r="I198" s="7"/>
    </row>
    <row r="199" spans="1:9" x14ac:dyDescent="0.3">
      <c r="A199" s="6" t="s">
        <v>212</v>
      </c>
      <c r="B199" s="1" t="s">
        <v>412</v>
      </c>
      <c r="C199" s="1" t="s">
        <v>20</v>
      </c>
      <c r="D199" s="1">
        <v>67000</v>
      </c>
      <c r="E199" s="2">
        <v>43327</v>
      </c>
      <c r="F199" s="1" t="str">
        <f>INDEX('Sheet5 (2)'!$A$1:$A$201,MATCH(A199,'Sheet5 (2)'!$D$1:$D$201,0))</f>
        <v>2 Raj Nagar</v>
      </c>
      <c r="G199" s="1" t="str">
        <f>INDEX('Sheet5 (2)'!$B$1:$B$201,MATCH(A199,'Sheet5 (2)'!$D$1:$D$201,0))</f>
        <v xml:space="preserve"> Ghaziabad</v>
      </c>
      <c r="H199" s="1" t="str">
        <f>INDEX('Sheet5 (2)'!$C$1:$C$201,MATCH(Table3[[#This Row],[EmpID]],'Sheet5 (2)'!$D$1:$D$201,0))</f>
        <v xml:space="preserve"> Uttar Pradesh</v>
      </c>
      <c r="I199" s="7"/>
    </row>
    <row r="200" spans="1:9" x14ac:dyDescent="0.3">
      <c r="A200" s="6" t="s">
        <v>213</v>
      </c>
      <c r="B200" s="1" t="s">
        <v>413</v>
      </c>
      <c r="C200" s="1" t="s">
        <v>22</v>
      </c>
      <c r="D200" s="1">
        <v>71000</v>
      </c>
      <c r="E200" s="2">
        <v>44600</v>
      </c>
      <c r="F200" s="1" t="str">
        <f>INDEX('Sheet5 (2)'!$A$1:$A$201,MATCH(A200,'Sheet5 (2)'!$D$1:$D$201,0))</f>
        <v>13 Indirapuram</v>
      </c>
      <c r="G200" s="1" t="str">
        <f>INDEX('Sheet5 (2)'!$B$1:$B$201,MATCH(A200,'Sheet5 (2)'!$D$1:$D$201,0))</f>
        <v xml:space="preserve"> Ghaziabad</v>
      </c>
      <c r="H200" s="1" t="str">
        <f>INDEX('Sheet5 (2)'!$C$1:$C$201,MATCH(Table3[[#This Row],[EmpID]],'Sheet5 (2)'!$D$1:$D$201,0))</f>
        <v xml:space="preserve"> Uttar Pradesh</v>
      </c>
      <c r="I200" s="7"/>
    </row>
    <row r="201" spans="1:9" x14ac:dyDescent="0.3">
      <c r="A201" s="11" t="s">
        <v>214</v>
      </c>
      <c r="B201" s="12" t="s">
        <v>414</v>
      </c>
      <c r="C201" s="12" t="s">
        <v>24</v>
      </c>
      <c r="D201" s="12">
        <v>64000</v>
      </c>
      <c r="E201" s="14">
        <v>42950</v>
      </c>
      <c r="F201" s="12" t="str">
        <f>INDEX('Sheet5 (2)'!$A$1:$A$201,MATCH(A201,'Sheet5 (2)'!$D$1:$D$201,0))</f>
        <v>7 Swaroop Nagar</v>
      </c>
      <c r="G201" s="12" t="str">
        <f>INDEX('Sheet5 (2)'!$B$1:$B$201,MATCH(A201,'Sheet5 (2)'!$D$1:$D$201,0))</f>
        <v xml:space="preserve"> Kanpur</v>
      </c>
      <c r="H201" s="12" t="str">
        <f>INDEX('Sheet5 (2)'!$C$1:$C$201,MATCH(Table3[[#This Row],[EmpID]],'Sheet5 (2)'!$D$1:$D$201,0))</f>
        <v xml:space="preserve"> Uttar Pradesh</v>
      </c>
      <c r="I201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12AD-5284-48A4-9A6A-1574647B58CE}">
  <dimension ref="A1:M201"/>
  <sheetViews>
    <sheetView zoomScale="134" zoomScaleNormal="134" workbookViewId="0">
      <selection activeCell="N8" sqref="N8"/>
    </sheetView>
  </sheetViews>
  <sheetFormatPr defaultRowHeight="14.4" x14ac:dyDescent="0.3"/>
  <cols>
    <col min="1" max="1" width="17.6640625" bestFit="1" customWidth="1"/>
    <col min="2" max="3" width="12.109375" customWidth="1"/>
    <col min="5" max="5" width="11.6640625" customWidth="1"/>
    <col min="9" max="9" width="9.109375" customWidth="1"/>
    <col min="10" max="10" width="13" bestFit="1" customWidth="1"/>
    <col min="11" max="11" width="14.33203125" customWidth="1"/>
    <col min="12" max="12" width="10.88671875" bestFit="1" customWidth="1"/>
  </cols>
  <sheetData>
    <row r="1" spans="1:13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I1" s="1" t="s">
        <v>0</v>
      </c>
      <c r="J1" s="1" t="s">
        <v>674</v>
      </c>
      <c r="K1" s="1" t="s">
        <v>1</v>
      </c>
      <c r="L1" s="1" t="s">
        <v>2</v>
      </c>
      <c r="M1" s="1" t="s">
        <v>3</v>
      </c>
    </row>
    <row r="2" spans="1:13" x14ac:dyDescent="0.3">
      <c r="A2" s="1" t="s">
        <v>215</v>
      </c>
      <c r="B2" s="1" t="s">
        <v>6</v>
      </c>
      <c r="C2" s="1" t="s">
        <v>5</v>
      </c>
      <c r="D2" s="1">
        <v>52000</v>
      </c>
      <c r="E2" s="2">
        <v>43536</v>
      </c>
      <c r="I2" s="1" t="s">
        <v>34</v>
      </c>
      <c r="J2" s="4">
        <f>MATCH(I2,$C$1:$C$201,0)</f>
        <v>21</v>
      </c>
      <c r="K2" s="1" t="str" cm="1">
        <f t="array" ref="K2">INDEX($A$1:$A$201,J2)</f>
        <v>Alisha Menon</v>
      </c>
      <c r="L2" s="1"/>
      <c r="M2" s="1"/>
    </row>
    <row r="3" spans="1:13" x14ac:dyDescent="0.3">
      <c r="A3" s="1" t="s">
        <v>216</v>
      </c>
      <c r="B3" s="1" t="s">
        <v>8</v>
      </c>
      <c r="C3" s="1" t="s">
        <v>7</v>
      </c>
      <c r="D3" s="1">
        <v>48000</v>
      </c>
      <c r="E3" s="2">
        <v>44013</v>
      </c>
      <c r="I3" s="1" t="s">
        <v>35</v>
      </c>
      <c r="J3" s="4">
        <f t="shared" ref="J3:J12" si="0">MATCH(I3,$C$1:$C$201,0)</f>
        <v>22</v>
      </c>
      <c r="K3" s="1" t="str" cm="1">
        <f t="array" ref="K3">INDEX($A$1:$A$201,J3)</f>
        <v>Varun Gupta</v>
      </c>
      <c r="L3" s="1"/>
      <c r="M3" s="1"/>
    </row>
    <row r="4" spans="1:13" x14ac:dyDescent="0.3">
      <c r="A4" s="1" t="s">
        <v>217</v>
      </c>
      <c r="B4" s="1" t="s">
        <v>10</v>
      </c>
      <c r="C4" s="1" t="s">
        <v>9</v>
      </c>
      <c r="D4" s="1">
        <v>75000</v>
      </c>
      <c r="E4" s="2">
        <v>43424</v>
      </c>
      <c r="I4" s="1" t="s">
        <v>191</v>
      </c>
      <c r="J4" s="4">
        <f t="shared" si="0"/>
        <v>178</v>
      </c>
      <c r="K4" s="1" t="str" cm="1">
        <f t="array" ref="K4">INDEX($A$1:$A$201,J4)</f>
        <v>Rekha Bhat</v>
      </c>
      <c r="L4" s="1"/>
      <c r="M4" s="1"/>
    </row>
    <row r="5" spans="1:13" x14ac:dyDescent="0.3">
      <c r="A5" s="1" t="s">
        <v>218</v>
      </c>
      <c r="B5" s="1" t="s">
        <v>12</v>
      </c>
      <c r="C5" s="1" t="s">
        <v>11</v>
      </c>
      <c r="D5" s="1">
        <v>61000</v>
      </c>
      <c r="E5" s="2">
        <v>44211</v>
      </c>
      <c r="I5" s="1" t="s">
        <v>37</v>
      </c>
      <c r="J5" s="4">
        <f t="shared" si="0"/>
        <v>24</v>
      </c>
      <c r="K5" s="1" t="str" cm="1">
        <f t="array" ref="K5">INDEX($A$1:$A$201,J5)</f>
        <v>Ankit Agarwal</v>
      </c>
      <c r="L5" s="1"/>
      <c r="M5" s="1"/>
    </row>
    <row r="6" spans="1:13" x14ac:dyDescent="0.3">
      <c r="A6" s="1" t="s">
        <v>219</v>
      </c>
      <c r="B6" s="1" t="s">
        <v>14</v>
      </c>
      <c r="C6" s="1" t="s">
        <v>13</v>
      </c>
      <c r="D6" s="1">
        <v>69000</v>
      </c>
      <c r="E6" s="2">
        <v>42916</v>
      </c>
      <c r="I6" s="1" t="s">
        <v>213</v>
      </c>
      <c r="J6" s="4">
        <f t="shared" si="0"/>
        <v>200</v>
      </c>
      <c r="K6" s="1" t="str" cm="1">
        <f t="array" ref="K6">INDEX($A$1:$A$201,J6)</f>
        <v>Arjun Singh</v>
      </c>
      <c r="L6" s="1"/>
      <c r="M6" s="1"/>
    </row>
    <row r="7" spans="1:13" x14ac:dyDescent="0.3">
      <c r="A7" s="1" t="s">
        <v>220</v>
      </c>
      <c r="B7" s="1" t="s">
        <v>16</v>
      </c>
      <c r="C7" s="1" t="s">
        <v>15</v>
      </c>
      <c r="D7" s="1">
        <v>72000</v>
      </c>
      <c r="E7" s="2">
        <v>44809</v>
      </c>
      <c r="I7" s="1" t="s">
        <v>39</v>
      </c>
      <c r="J7" s="4">
        <f t="shared" si="0"/>
        <v>26</v>
      </c>
      <c r="K7" s="1" t="str" cm="1">
        <f t="array" ref="K7">INDEX($A$1:$A$201,J7)</f>
        <v>Siddharth Jain</v>
      </c>
      <c r="L7" s="1"/>
      <c r="M7" s="1"/>
    </row>
    <row r="8" spans="1:13" x14ac:dyDescent="0.3">
      <c r="A8" s="1" t="s">
        <v>221</v>
      </c>
      <c r="B8" s="1" t="s">
        <v>18</v>
      </c>
      <c r="C8" s="1" t="s">
        <v>17</v>
      </c>
      <c r="D8" s="1">
        <v>50000</v>
      </c>
      <c r="E8" s="2">
        <v>43809</v>
      </c>
      <c r="I8" s="1" t="s">
        <v>140</v>
      </c>
      <c r="J8" s="4">
        <f t="shared" si="0"/>
        <v>127</v>
      </c>
      <c r="K8" s="1" t="str" cm="1">
        <f t="array" ref="K8">INDEX($A$1:$A$201,J8)</f>
        <v>Anjali Menon</v>
      </c>
      <c r="L8" s="1"/>
      <c r="M8" s="1"/>
    </row>
    <row r="9" spans="1:13" x14ac:dyDescent="0.3">
      <c r="A9" s="1" t="s">
        <v>222</v>
      </c>
      <c r="B9" s="1" t="s">
        <v>20</v>
      </c>
      <c r="C9" s="1" t="s">
        <v>19</v>
      </c>
      <c r="D9" s="1">
        <v>66000</v>
      </c>
      <c r="E9" s="2">
        <v>43886</v>
      </c>
      <c r="I9" s="1" t="s">
        <v>41</v>
      </c>
      <c r="J9" s="4">
        <f t="shared" si="0"/>
        <v>28</v>
      </c>
      <c r="K9" s="1" t="str" cm="1">
        <f t="array" ref="K9">INDEX($A$1:$A$201,J9)</f>
        <v>Nikhil Kapoor</v>
      </c>
      <c r="L9" s="1"/>
      <c r="M9" s="1"/>
    </row>
    <row r="10" spans="1:13" x14ac:dyDescent="0.3">
      <c r="A10" s="1" t="s">
        <v>223</v>
      </c>
      <c r="B10" s="1" t="s">
        <v>22</v>
      </c>
      <c r="C10" s="1" t="s">
        <v>21</v>
      </c>
      <c r="D10" s="1">
        <v>58000</v>
      </c>
      <c r="E10" s="2">
        <v>42600</v>
      </c>
      <c r="I10" s="1" t="s">
        <v>42</v>
      </c>
      <c r="J10" s="4">
        <f t="shared" si="0"/>
        <v>29</v>
      </c>
      <c r="K10" s="1" t="str" cm="1">
        <f t="array" ref="K10">INDEX($A$1:$A$201,J10)</f>
        <v>Rekha Pillai</v>
      </c>
      <c r="L10" s="1"/>
      <c r="M10" s="1"/>
    </row>
    <row r="11" spans="1:13" x14ac:dyDescent="0.3">
      <c r="A11" s="1" t="s">
        <v>224</v>
      </c>
      <c r="B11" s="1" t="s">
        <v>24</v>
      </c>
      <c r="C11" s="1" t="s">
        <v>23</v>
      </c>
      <c r="D11" s="1">
        <v>45000</v>
      </c>
      <c r="E11" s="2">
        <v>42146</v>
      </c>
      <c r="I11" s="1" t="s">
        <v>143</v>
      </c>
      <c r="J11" s="4">
        <f t="shared" si="0"/>
        <v>130</v>
      </c>
      <c r="K11" s="1" t="str" cm="1">
        <f t="array" ref="K11">INDEX($A$1:$A$201,J11)</f>
        <v>Pranav Kulkarni</v>
      </c>
      <c r="L11" s="1"/>
      <c r="M11" s="1"/>
    </row>
    <row r="12" spans="1:13" x14ac:dyDescent="0.3">
      <c r="A12" s="1" t="s">
        <v>225</v>
      </c>
      <c r="B12" s="1" t="s">
        <v>6</v>
      </c>
      <c r="C12" s="1" t="s">
        <v>25</v>
      </c>
      <c r="D12" s="1">
        <v>80000</v>
      </c>
      <c r="E12" s="2">
        <v>43193</v>
      </c>
      <c r="I12" s="1" t="s">
        <v>44</v>
      </c>
      <c r="J12" s="4">
        <f t="shared" si="0"/>
        <v>31</v>
      </c>
      <c r="K12" s="1" t="str" cm="1">
        <f t="array" ref="K12">INDEX($A$1:$A$201,J12)</f>
        <v>Anushka Roy</v>
      </c>
      <c r="L12" s="1"/>
      <c r="M12" s="1"/>
    </row>
    <row r="13" spans="1:13" x14ac:dyDescent="0.3">
      <c r="A13" s="1" t="s">
        <v>226</v>
      </c>
      <c r="B13" s="1" t="s">
        <v>8</v>
      </c>
      <c r="C13" s="1" t="s">
        <v>26</v>
      </c>
      <c r="D13" s="1">
        <v>54000</v>
      </c>
      <c r="E13" s="2">
        <v>42992</v>
      </c>
    </row>
    <row r="14" spans="1:13" x14ac:dyDescent="0.3">
      <c r="A14" s="1" t="s">
        <v>227</v>
      </c>
      <c r="B14" s="1" t="s">
        <v>10</v>
      </c>
      <c r="C14" s="1" t="s">
        <v>27</v>
      </c>
      <c r="D14" s="1">
        <v>47000</v>
      </c>
      <c r="E14" s="2">
        <v>44502</v>
      </c>
      <c r="I14" s="1" t="s">
        <v>0</v>
      </c>
      <c r="J14" s="1" t="s">
        <v>1</v>
      </c>
      <c r="K14" s="1" t="s">
        <v>2</v>
      </c>
      <c r="L14" s="1" t="s">
        <v>3</v>
      </c>
    </row>
    <row r="15" spans="1:13" x14ac:dyDescent="0.3">
      <c r="A15" s="1" t="s">
        <v>228</v>
      </c>
      <c r="B15" s="1" t="s">
        <v>12</v>
      </c>
      <c r="C15" s="1" t="s">
        <v>28</v>
      </c>
      <c r="D15" s="1">
        <v>90000</v>
      </c>
      <c r="E15" s="2">
        <v>42396</v>
      </c>
      <c r="I15" s="1" t="s">
        <v>34</v>
      </c>
      <c r="J15" s="5" t="str">
        <f>INDEX($A$1:$A$201,MATCH(I15,$C$1:$C$201,0))</f>
        <v>Alisha Menon</v>
      </c>
      <c r="K15" s="1" t="str">
        <f>INDEX($B$1:$B$201,MATCH(I15,$C$1:$C$201,0))</f>
        <v>Admin</v>
      </c>
      <c r="L15" s="1"/>
    </row>
    <row r="16" spans="1:13" x14ac:dyDescent="0.3">
      <c r="A16" s="1" t="s">
        <v>229</v>
      </c>
      <c r="B16" s="1" t="s">
        <v>14</v>
      </c>
      <c r="C16" s="1" t="s">
        <v>29</v>
      </c>
      <c r="D16" s="1">
        <v>62000</v>
      </c>
      <c r="E16" s="2">
        <v>43635</v>
      </c>
      <c r="I16" s="1" t="s">
        <v>35</v>
      </c>
      <c r="J16" s="5" t="str">
        <f t="shared" ref="J16:J25" si="1">INDEX($A$1:$A$201,MATCH(I16,$C$1:$C$201,0))</f>
        <v>Varun Gupta</v>
      </c>
      <c r="K16" s="1" t="str">
        <f t="shared" ref="K16:K25" si="2">INDEX($B$1:$B$201,MATCH(I16,$C$1:$C$201,0))</f>
        <v>Sales</v>
      </c>
      <c r="L16" s="1"/>
    </row>
    <row r="17" spans="1:12" x14ac:dyDescent="0.3">
      <c r="A17" s="1" t="s">
        <v>230</v>
      </c>
      <c r="B17" s="1" t="s">
        <v>16</v>
      </c>
      <c r="C17" s="1" t="s">
        <v>30</v>
      </c>
      <c r="D17" s="1">
        <v>73000</v>
      </c>
      <c r="E17" s="2">
        <v>44112</v>
      </c>
      <c r="I17" s="1" t="s">
        <v>191</v>
      </c>
      <c r="J17" s="5" t="str">
        <f t="shared" si="1"/>
        <v>Rekha Bhat</v>
      </c>
      <c r="K17" s="1" t="str">
        <f t="shared" si="2"/>
        <v>Legal</v>
      </c>
      <c r="L17" s="1"/>
    </row>
    <row r="18" spans="1:12" x14ac:dyDescent="0.3">
      <c r="A18" s="1" t="s">
        <v>231</v>
      </c>
      <c r="B18" s="1" t="s">
        <v>18</v>
      </c>
      <c r="C18" s="1" t="s">
        <v>31</v>
      </c>
      <c r="D18" s="1">
        <v>56000</v>
      </c>
      <c r="E18" s="2">
        <v>42343</v>
      </c>
      <c r="I18" s="1" t="s">
        <v>37</v>
      </c>
      <c r="J18" s="5" t="str">
        <f t="shared" si="1"/>
        <v>Ankit Agarwal</v>
      </c>
      <c r="K18" s="1" t="str">
        <f t="shared" si="2"/>
        <v>IT</v>
      </c>
      <c r="L18" s="1"/>
    </row>
    <row r="19" spans="1:12" x14ac:dyDescent="0.3">
      <c r="A19" s="1" t="s">
        <v>232</v>
      </c>
      <c r="B19" s="1" t="s">
        <v>20</v>
      </c>
      <c r="C19" s="1" t="s">
        <v>32</v>
      </c>
      <c r="D19" s="1">
        <v>67000</v>
      </c>
      <c r="E19" s="2">
        <v>43152</v>
      </c>
      <c r="I19" s="1" t="s">
        <v>213</v>
      </c>
      <c r="J19" s="5" t="str">
        <f t="shared" si="1"/>
        <v>Arjun Singh</v>
      </c>
      <c r="K19" s="1" t="str">
        <f t="shared" si="2"/>
        <v>Support</v>
      </c>
      <c r="L19" s="1"/>
    </row>
    <row r="20" spans="1:12" x14ac:dyDescent="0.3">
      <c r="A20" s="1" t="s">
        <v>233</v>
      </c>
      <c r="B20" s="1" t="s">
        <v>22</v>
      </c>
      <c r="C20" s="1" t="s">
        <v>33</v>
      </c>
      <c r="D20" s="1">
        <v>71000</v>
      </c>
      <c r="E20" s="2">
        <v>44650</v>
      </c>
      <c r="I20" s="1" t="s">
        <v>39</v>
      </c>
      <c r="J20" s="5" t="str">
        <f t="shared" si="1"/>
        <v>Siddharth Jain</v>
      </c>
      <c r="K20" s="1" t="str">
        <f t="shared" si="2"/>
        <v>Marketing</v>
      </c>
      <c r="L20" s="1"/>
    </row>
    <row r="21" spans="1:12" x14ac:dyDescent="0.3">
      <c r="A21" s="3" t="s">
        <v>234</v>
      </c>
      <c r="B21" s="3" t="s">
        <v>24</v>
      </c>
      <c r="C21" s="3" t="s">
        <v>34</v>
      </c>
      <c r="D21" s="1">
        <v>64000</v>
      </c>
      <c r="E21" s="2">
        <v>42927</v>
      </c>
      <c r="I21" s="1" t="s">
        <v>140</v>
      </c>
      <c r="J21" s="5" t="str">
        <f t="shared" si="1"/>
        <v>Anjali Menon</v>
      </c>
      <c r="K21" s="1" t="str">
        <f t="shared" si="2"/>
        <v>Operations</v>
      </c>
      <c r="L21" s="1"/>
    </row>
    <row r="22" spans="1:12" x14ac:dyDescent="0.3">
      <c r="A22" s="3" t="s">
        <v>235</v>
      </c>
      <c r="B22" s="3" t="s">
        <v>6</v>
      </c>
      <c r="C22" s="3" t="s">
        <v>35</v>
      </c>
      <c r="D22" s="1">
        <v>52000</v>
      </c>
      <c r="E22" s="2">
        <v>43474</v>
      </c>
      <c r="I22" s="1" t="s">
        <v>41</v>
      </c>
      <c r="J22" s="5" t="str">
        <f t="shared" si="1"/>
        <v>Nikhil Kapoor</v>
      </c>
      <c r="K22" s="1" t="str">
        <f t="shared" si="2"/>
        <v>Legal</v>
      </c>
      <c r="L22" s="1"/>
    </row>
    <row r="23" spans="1:12" x14ac:dyDescent="0.3">
      <c r="A23" s="1" t="s">
        <v>236</v>
      </c>
      <c r="B23" s="1" t="s">
        <v>8</v>
      </c>
      <c r="C23" s="1" t="s">
        <v>36</v>
      </c>
      <c r="D23" s="1">
        <v>48000</v>
      </c>
      <c r="E23" s="2">
        <v>43967</v>
      </c>
      <c r="I23" s="1" t="s">
        <v>42</v>
      </c>
      <c r="J23" s="5" t="str">
        <f t="shared" si="1"/>
        <v>Rekha Pillai</v>
      </c>
      <c r="K23" s="1" t="str">
        <f t="shared" si="2"/>
        <v>R&amp;D</v>
      </c>
      <c r="L23" s="1"/>
    </row>
    <row r="24" spans="1:12" x14ac:dyDescent="0.3">
      <c r="A24" s="1" t="s">
        <v>237</v>
      </c>
      <c r="B24" s="1" t="s">
        <v>10</v>
      </c>
      <c r="C24" s="1" t="s">
        <v>37</v>
      </c>
      <c r="D24" s="1">
        <v>75000</v>
      </c>
      <c r="E24" s="2">
        <v>43377</v>
      </c>
      <c r="I24" s="1" t="s">
        <v>143</v>
      </c>
      <c r="J24" s="5" t="str">
        <f t="shared" si="1"/>
        <v>Pranav Kulkarni</v>
      </c>
      <c r="K24" s="1" t="str">
        <f t="shared" si="2"/>
        <v>Support</v>
      </c>
      <c r="L24" s="1"/>
    </row>
    <row r="25" spans="1:12" x14ac:dyDescent="0.3">
      <c r="A25" s="1" t="s">
        <v>238</v>
      </c>
      <c r="B25" s="1" t="s">
        <v>12</v>
      </c>
      <c r="C25" s="1" t="s">
        <v>38</v>
      </c>
      <c r="D25" s="1">
        <v>61000</v>
      </c>
      <c r="E25" s="2">
        <v>44247</v>
      </c>
      <c r="I25" s="1" t="s">
        <v>44</v>
      </c>
      <c r="J25" s="5" t="str">
        <f t="shared" si="1"/>
        <v>Anushka Roy</v>
      </c>
      <c r="K25" s="1" t="str">
        <f t="shared" si="2"/>
        <v>Admin</v>
      </c>
      <c r="L25" s="1"/>
    </row>
    <row r="26" spans="1:12" x14ac:dyDescent="0.3">
      <c r="A26" s="1" t="s">
        <v>239</v>
      </c>
      <c r="B26" s="1" t="s">
        <v>14</v>
      </c>
      <c r="C26" s="1" t="s">
        <v>39</v>
      </c>
      <c r="D26" s="1">
        <v>69000</v>
      </c>
      <c r="E26" s="2">
        <v>42976</v>
      </c>
    </row>
    <row r="27" spans="1:12" x14ac:dyDescent="0.3">
      <c r="A27" s="1" t="s">
        <v>240</v>
      </c>
      <c r="B27" s="1" t="s">
        <v>16</v>
      </c>
      <c r="C27" s="1" t="s">
        <v>40</v>
      </c>
      <c r="D27" s="1">
        <v>72000</v>
      </c>
      <c r="E27" s="2">
        <v>44725</v>
      </c>
    </row>
    <row r="28" spans="1:12" x14ac:dyDescent="0.3">
      <c r="A28" s="1" t="s">
        <v>241</v>
      </c>
      <c r="B28" s="1" t="s">
        <v>18</v>
      </c>
      <c r="C28" s="1" t="s">
        <v>41</v>
      </c>
      <c r="D28" s="1">
        <v>50000</v>
      </c>
      <c r="E28" s="2">
        <v>43776</v>
      </c>
    </row>
    <row r="29" spans="1:12" x14ac:dyDescent="0.3">
      <c r="A29" s="1" t="s">
        <v>242</v>
      </c>
      <c r="B29" s="1" t="s">
        <v>20</v>
      </c>
      <c r="C29" s="1" t="s">
        <v>42</v>
      </c>
      <c r="D29" s="1">
        <v>66000</v>
      </c>
      <c r="E29" s="2">
        <v>43908</v>
      </c>
    </row>
    <row r="30" spans="1:12" x14ac:dyDescent="0.3">
      <c r="A30" s="1" t="s">
        <v>243</v>
      </c>
      <c r="B30" s="1" t="s">
        <v>22</v>
      </c>
      <c r="C30" s="1" t="s">
        <v>43</v>
      </c>
      <c r="D30" s="1">
        <v>58000</v>
      </c>
      <c r="E30" s="2">
        <v>42638</v>
      </c>
    </row>
    <row r="31" spans="1:12" x14ac:dyDescent="0.3">
      <c r="A31" s="1" t="s">
        <v>244</v>
      </c>
      <c r="B31" s="1" t="s">
        <v>24</v>
      </c>
      <c r="C31" s="1" t="s">
        <v>44</v>
      </c>
      <c r="D31" s="1">
        <v>45000</v>
      </c>
      <c r="E31" s="2">
        <v>42108</v>
      </c>
    </row>
    <row r="32" spans="1:12" x14ac:dyDescent="0.3">
      <c r="A32" s="1" t="s">
        <v>245</v>
      </c>
      <c r="B32" s="1" t="s">
        <v>6</v>
      </c>
      <c r="C32" s="1" t="s">
        <v>45</v>
      </c>
      <c r="D32" s="1">
        <v>80000</v>
      </c>
      <c r="E32" s="2">
        <v>43272</v>
      </c>
    </row>
    <row r="33" spans="1:5" x14ac:dyDescent="0.3">
      <c r="A33" s="1" t="s">
        <v>246</v>
      </c>
      <c r="B33" s="1" t="s">
        <v>8</v>
      </c>
      <c r="C33" s="1" t="s">
        <v>46</v>
      </c>
      <c r="D33" s="1">
        <v>54000</v>
      </c>
      <c r="E33" s="2">
        <v>43038</v>
      </c>
    </row>
    <row r="34" spans="1:5" x14ac:dyDescent="0.3">
      <c r="A34" s="1" t="s">
        <v>247</v>
      </c>
      <c r="B34" s="1" t="s">
        <v>10</v>
      </c>
      <c r="C34" s="1" t="s">
        <v>47</v>
      </c>
      <c r="D34" s="1">
        <v>47000</v>
      </c>
      <c r="E34" s="2">
        <v>44542</v>
      </c>
    </row>
    <row r="35" spans="1:5" x14ac:dyDescent="0.3">
      <c r="A35" s="1" t="s">
        <v>248</v>
      </c>
      <c r="B35" s="1" t="s">
        <v>12</v>
      </c>
      <c r="C35" s="1" t="s">
        <v>48</v>
      </c>
      <c r="D35" s="1">
        <v>90000</v>
      </c>
      <c r="E35" s="2">
        <v>42408</v>
      </c>
    </row>
    <row r="36" spans="1:5" x14ac:dyDescent="0.3">
      <c r="A36" s="1" t="s">
        <v>249</v>
      </c>
      <c r="B36" s="1" t="s">
        <v>14</v>
      </c>
      <c r="C36" s="1" t="s">
        <v>49</v>
      </c>
      <c r="D36" s="1">
        <v>62000</v>
      </c>
      <c r="E36" s="2">
        <v>43588</v>
      </c>
    </row>
    <row r="37" spans="1:5" x14ac:dyDescent="0.3">
      <c r="A37" s="1" t="s">
        <v>250</v>
      </c>
      <c r="B37" s="1" t="s">
        <v>16</v>
      </c>
      <c r="C37" s="1" t="s">
        <v>50</v>
      </c>
      <c r="D37" s="1">
        <v>73000</v>
      </c>
      <c r="E37" s="2">
        <v>44070</v>
      </c>
    </row>
    <row r="38" spans="1:5" x14ac:dyDescent="0.3">
      <c r="A38" s="1" t="s">
        <v>251</v>
      </c>
      <c r="B38" s="1" t="s">
        <v>18</v>
      </c>
      <c r="C38" s="1" t="s">
        <v>51</v>
      </c>
      <c r="D38" s="1">
        <v>56000</v>
      </c>
      <c r="E38" s="2">
        <v>42324</v>
      </c>
    </row>
    <row r="39" spans="1:5" x14ac:dyDescent="0.3">
      <c r="A39" s="1" t="s">
        <v>252</v>
      </c>
      <c r="B39" s="1" t="s">
        <v>20</v>
      </c>
      <c r="C39" s="1" t="s">
        <v>52</v>
      </c>
      <c r="D39" s="1">
        <v>67000</v>
      </c>
      <c r="E39" s="2">
        <v>43105</v>
      </c>
    </row>
    <row r="40" spans="1:5" x14ac:dyDescent="0.3">
      <c r="A40" s="1" t="s">
        <v>253</v>
      </c>
      <c r="B40" s="1" t="s">
        <v>22</v>
      </c>
      <c r="C40" s="1" t="s">
        <v>53</v>
      </c>
      <c r="D40" s="1">
        <v>71000</v>
      </c>
      <c r="E40" s="2">
        <v>44673</v>
      </c>
    </row>
    <row r="41" spans="1:5" x14ac:dyDescent="0.3">
      <c r="A41" s="1" t="s">
        <v>254</v>
      </c>
      <c r="B41" s="1" t="s">
        <v>24</v>
      </c>
      <c r="C41" s="1" t="s">
        <v>54</v>
      </c>
      <c r="D41" s="1">
        <v>64000</v>
      </c>
      <c r="E41" s="2">
        <v>42803</v>
      </c>
    </row>
    <row r="42" spans="1:5" x14ac:dyDescent="0.3">
      <c r="A42" s="1" t="s">
        <v>255</v>
      </c>
      <c r="B42" s="1" t="s">
        <v>6</v>
      </c>
      <c r="C42" s="1" t="s">
        <v>55</v>
      </c>
      <c r="D42" s="1">
        <v>52000</v>
      </c>
      <c r="E42" s="2">
        <v>43674</v>
      </c>
    </row>
    <row r="43" spans="1:5" x14ac:dyDescent="0.3">
      <c r="A43" s="1" t="s">
        <v>256</v>
      </c>
      <c r="B43" s="1" t="s">
        <v>8</v>
      </c>
      <c r="C43" s="1" t="s">
        <v>56</v>
      </c>
      <c r="D43" s="1">
        <v>48000</v>
      </c>
      <c r="E43" s="2">
        <v>44141</v>
      </c>
    </row>
    <row r="44" spans="1:5" x14ac:dyDescent="0.3">
      <c r="A44" s="1" t="s">
        <v>257</v>
      </c>
      <c r="B44" s="1" t="s">
        <v>10</v>
      </c>
      <c r="C44" s="1" t="s">
        <v>57</v>
      </c>
      <c r="D44" s="1">
        <v>75000</v>
      </c>
      <c r="E44" s="2">
        <v>43237</v>
      </c>
    </row>
    <row r="45" spans="1:5" x14ac:dyDescent="0.3">
      <c r="A45" s="1" t="s">
        <v>258</v>
      </c>
      <c r="B45" s="1" t="s">
        <v>12</v>
      </c>
      <c r="C45" s="1" t="s">
        <v>58</v>
      </c>
      <c r="D45" s="1">
        <v>61000</v>
      </c>
      <c r="E45" s="2">
        <v>44440</v>
      </c>
    </row>
    <row r="46" spans="1:5" x14ac:dyDescent="0.3">
      <c r="A46" s="1" t="s">
        <v>259</v>
      </c>
      <c r="B46" s="1" t="s">
        <v>14</v>
      </c>
      <c r="C46" s="1" t="s">
        <v>59</v>
      </c>
      <c r="D46" s="1">
        <v>69000</v>
      </c>
      <c r="E46" s="2">
        <v>42779</v>
      </c>
    </row>
    <row r="47" spans="1:5" x14ac:dyDescent="0.3">
      <c r="A47" s="1" t="s">
        <v>260</v>
      </c>
      <c r="B47" s="1" t="s">
        <v>16</v>
      </c>
      <c r="C47" s="1" t="s">
        <v>60</v>
      </c>
      <c r="D47" s="1">
        <v>72000</v>
      </c>
      <c r="E47" s="2">
        <v>44914</v>
      </c>
    </row>
    <row r="48" spans="1:5" x14ac:dyDescent="0.3">
      <c r="A48" s="1" t="s">
        <v>261</v>
      </c>
      <c r="B48" s="1" t="s">
        <v>18</v>
      </c>
      <c r="C48" s="1" t="s">
        <v>61</v>
      </c>
      <c r="D48" s="1">
        <v>50000</v>
      </c>
      <c r="E48" s="2">
        <v>43701</v>
      </c>
    </row>
    <row r="49" spans="1:5" x14ac:dyDescent="0.3">
      <c r="A49" s="1" t="s">
        <v>262</v>
      </c>
      <c r="B49" s="1" t="s">
        <v>20</v>
      </c>
      <c r="C49" s="1" t="s">
        <v>62</v>
      </c>
      <c r="D49" s="1">
        <v>66000</v>
      </c>
      <c r="E49" s="2">
        <v>43837</v>
      </c>
    </row>
    <row r="50" spans="1:5" x14ac:dyDescent="0.3">
      <c r="A50" s="1" t="s">
        <v>263</v>
      </c>
      <c r="B50" s="1" t="s">
        <v>22</v>
      </c>
      <c r="C50" s="1" t="s">
        <v>63</v>
      </c>
      <c r="D50" s="1">
        <v>58000</v>
      </c>
      <c r="E50" s="2">
        <v>42523</v>
      </c>
    </row>
    <row r="51" spans="1:5" x14ac:dyDescent="0.3">
      <c r="A51" s="1" t="s">
        <v>264</v>
      </c>
      <c r="B51" s="1" t="s">
        <v>24</v>
      </c>
      <c r="C51" s="1" t="s">
        <v>64</v>
      </c>
      <c r="D51" s="1">
        <v>45000</v>
      </c>
      <c r="E51" s="2">
        <v>42308</v>
      </c>
    </row>
    <row r="52" spans="1:5" x14ac:dyDescent="0.3">
      <c r="A52" s="1" t="s">
        <v>265</v>
      </c>
      <c r="B52" s="1" t="s">
        <v>6</v>
      </c>
      <c r="C52" s="1" t="s">
        <v>65</v>
      </c>
      <c r="D52" s="1">
        <v>80000</v>
      </c>
      <c r="E52" s="2">
        <v>43354</v>
      </c>
    </row>
    <row r="53" spans="1:5" x14ac:dyDescent="0.3">
      <c r="A53" s="1" t="s">
        <v>266</v>
      </c>
      <c r="B53" s="1" t="s">
        <v>8</v>
      </c>
      <c r="C53" s="1" t="s">
        <v>66</v>
      </c>
      <c r="D53" s="1">
        <v>54000</v>
      </c>
      <c r="E53" s="2">
        <v>42757</v>
      </c>
    </row>
    <row r="54" spans="1:5" x14ac:dyDescent="0.3">
      <c r="A54" s="1" t="s">
        <v>267</v>
      </c>
      <c r="B54" s="1" t="s">
        <v>10</v>
      </c>
      <c r="C54" s="1" t="s">
        <v>67</v>
      </c>
      <c r="D54" s="1">
        <v>47000</v>
      </c>
      <c r="E54" s="2">
        <v>44269</v>
      </c>
    </row>
    <row r="55" spans="1:5" x14ac:dyDescent="0.3">
      <c r="A55" s="1" t="s">
        <v>268</v>
      </c>
      <c r="B55" s="1" t="s">
        <v>12</v>
      </c>
      <c r="C55" s="1" t="s">
        <v>68</v>
      </c>
      <c r="D55" s="1">
        <v>90000</v>
      </c>
      <c r="E55" s="2">
        <v>42556</v>
      </c>
    </row>
    <row r="56" spans="1:5" x14ac:dyDescent="0.3">
      <c r="A56" s="1" t="s">
        <v>269</v>
      </c>
      <c r="B56" s="1" t="s">
        <v>14</v>
      </c>
      <c r="C56" s="1" t="s">
        <v>69</v>
      </c>
      <c r="D56" s="1">
        <v>62000</v>
      </c>
      <c r="E56" s="2">
        <v>43764</v>
      </c>
    </row>
    <row r="57" spans="1:5" x14ac:dyDescent="0.3">
      <c r="A57" s="1" t="s">
        <v>270</v>
      </c>
      <c r="B57" s="1" t="s">
        <v>16</v>
      </c>
      <c r="C57" s="1" t="s">
        <v>70</v>
      </c>
      <c r="D57" s="1">
        <v>73000</v>
      </c>
      <c r="E57" s="2">
        <v>43863</v>
      </c>
    </row>
    <row r="58" spans="1:5" x14ac:dyDescent="0.3">
      <c r="A58" s="1" t="s">
        <v>271</v>
      </c>
      <c r="B58" s="1" t="s">
        <v>18</v>
      </c>
      <c r="C58" s="1" t="s">
        <v>71</v>
      </c>
      <c r="D58" s="1">
        <v>56000</v>
      </c>
      <c r="E58" s="2">
        <v>42173</v>
      </c>
    </row>
    <row r="59" spans="1:5" x14ac:dyDescent="0.3">
      <c r="A59" s="1" t="s">
        <v>272</v>
      </c>
      <c r="B59" s="1" t="s">
        <v>20</v>
      </c>
      <c r="C59" s="1" t="s">
        <v>72</v>
      </c>
      <c r="D59" s="1">
        <v>67000</v>
      </c>
      <c r="E59" s="2">
        <v>43443</v>
      </c>
    </row>
    <row r="60" spans="1:5" x14ac:dyDescent="0.3">
      <c r="A60" s="1" t="s">
        <v>273</v>
      </c>
      <c r="B60" s="1" t="s">
        <v>22</v>
      </c>
      <c r="C60" s="1" t="s">
        <v>73</v>
      </c>
      <c r="D60" s="1">
        <v>71000</v>
      </c>
      <c r="E60" s="2">
        <v>44581</v>
      </c>
    </row>
    <row r="61" spans="1:5" x14ac:dyDescent="0.3">
      <c r="A61" s="1" t="s">
        <v>274</v>
      </c>
      <c r="B61" s="1" t="s">
        <v>24</v>
      </c>
      <c r="C61" s="1" t="s">
        <v>74</v>
      </c>
      <c r="D61" s="1">
        <v>64000</v>
      </c>
      <c r="E61" s="2">
        <v>43068</v>
      </c>
    </row>
    <row r="62" spans="1:5" x14ac:dyDescent="0.3">
      <c r="A62" s="1" t="s">
        <v>275</v>
      </c>
      <c r="B62" s="1" t="s">
        <v>6</v>
      </c>
      <c r="C62" s="1" t="s">
        <v>75</v>
      </c>
      <c r="D62" s="1">
        <v>52000</v>
      </c>
      <c r="E62" s="2">
        <v>43502</v>
      </c>
    </row>
    <row r="63" spans="1:5" x14ac:dyDescent="0.3">
      <c r="A63" s="1" t="s">
        <v>276</v>
      </c>
      <c r="B63" s="1" t="s">
        <v>8</v>
      </c>
      <c r="C63" s="1" t="s">
        <v>76</v>
      </c>
      <c r="D63" s="1">
        <v>48000</v>
      </c>
      <c r="E63" s="2">
        <v>43997</v>
      </c>
    </row>
    <row r="64" spans="1:5" x14ac:dyDescent="0.3">
      <c r="A64" s="1" t="s">
        <v>277</v>
      </c>
      <c r="B64" s="1" t="s">
        <v>10</v>
      </c>
      <c r="C64" s="1" t="s">
        <v>77</v>
      </c>
      <c r="D64" s="1">
        <v>75000</v>
      </c>
      <c r="E64" s="2">
        <v>43335</v>
      </c>
    </row>
    <row r="65" spans="1:5" x14ac:dyDescent="0.3">
      <c r="A65" s="1" t="s">
        <v>278</v>
      </c>
      <c r="B65" s="1" t="s">
        <v>12</v>
      </c>
      <c r="C65" s="1" t="s">
        <v>78</v>
      </c>
      <c r="D65" s="1">
        <v>61000</v>
      </c>
      <c r="E65" s="2">
        <v>44296</v>
      </c>
    </row>
    <row r="66" spans="1:5" x14ac:dyDescent="0.3">
      <c r="A66" s="1" t="s">
        <v>279</v>
      </c>
      <c r="B66" s="1" t="s">
        <v>14</v>
      </c>
      <c r="C66" s="1" t="s">
        <v>79</v>
      </c>
      <c r="D66" s="1">
        <v>69000</v>
      </c>
      <c r="E66" s="2">
        <v>43070</v>
      </c>
    </row>
    <row r="67" spans="1:5" x14ac:dyDescent="0.3">
      <c r="A67" s="1" t="s">
        <v>280</v>
      </c>
      <c r="B67" s="1" t="s">
        <v>16</v>
      </c>
      <c r="C67" s="1" t="s">
        <v>80</v>
      </c>
      <c r="D67" s="1">
        <v>72000</v>
      </c>
      <c r="E67" s="2">
        <v>44688</v>
      </c>
    </row>
    <row r="68" spans="1:5" x14ac:dyDescent="0.3">
      <c r="A68" s="1" t="s">
        <v>281</v>
      </c>
      <c r="B68" s="1" t="s">
        <v>18</v>
      </c>
      <c r="C68" s="1" t="s">
        <v>81</v>
      </c>
      <c r="D68" s="1">
        <v>50000</v>
      </c>
      <c r="E68" s="2">
        <v>43751</v>
      </c>
    </row>
    <row r="69" spans="1:5" x14ac:dyDescent="0.3">
      <c r="A69" s="1" t="s">
        <v>282</v>
      </c>
      <c r="B69" s="1" t="s">
        <v>20</v>
      </c>
      <c r="C69" s="1" t="s">
        <v>82</v>
      </c>
      <c r="D69" s="1">
        <v>66000</v>
      </c>
      <c r="E69" s="2">
        <v>44076</v>
      </c>
    </row>
    <row r="70" spans="1:5" x14ac:dyDescent="0.3">
      <c r="A70" s="1" t="s">
        <v>283</v>
      </c>
      <c r="B70" s="1" t="s">
        <v>22</v>
      </c>
      <c r="C70" s="1" t="s">
        <v>83</v>
      </c>
      <c r="D70" s="1">
        <v>58000</v>
      </c>
      <c r="E70" s="2">
        <v>42450</v>
      </c>
    </row>
    <row r="71" spans="1:5" x14ac:dyDescent="0.3">
      <c r="A71" s="1" t="s">
        <v>284</v>
      </c>
      <c r="B71" s="1" t="s">
        <v>24</v>
      </c>
      <c r="C71" s="1" t="s">
        <v>84</v>
      </c>
      <c r="D71" s="1">
        <v>45000</v>
      </c>
      <c r="E71" s="2">
        <v>42232</v>
      </c>
    </row>
    <row r="72" spans="1:5" x14ac:dyDescent="0.3">
      <c r="A72" s="1" t="s">
        <v>285</v>
      </c>
      <c r="B72" s="1" t="s">
        <v>6</v>
      </c>
      <c r="C72" s="1" t="s">
        <v>85</v>
      </c>
      <c r="D72" s="1">
        <v>80000</v>
      </c>
      <c r="E72" s="2">
        <v>43159</v>
      </c>
    </row>
    <row r="73" spans="1:5" x14ac:dyDescent="0.3">
      <c r="A73" s="1" t="s">
        <v>286</v>
      </c>
      <c r="B73" s="1" t="s">
        <v>8</v>
      </c>
      <c r="C73" s="1" t="s">
        <v>86</v>
      </c>
      <c r="D73" s="1">
        <v>54000</v>
      </c>
      <c r="E73" s="2">
        <v>42834</v>
      </c>
    </row>
    <row r="74" spans="1:5" x14ac:dyDescent="0.3">
      <c r="A74" s="1" t="s">
        <v>287</v>
      </c>
      <c r="B74" s="1" t="s">
        <v>10</v>
      </c>
      <c r="C74" s="1" t="s">
        <v>87</v>
      </c>
      <c r="D74" s="1">
        <v>47000</v>
      </c>
      <c r="E74" s="2">
        <v>44365</v>
      </c>
    </row>
    <row r="75" spans="1:5" x14ac:dyDescent="0.3">
      <c r="A75" s="1" t="s">
        <v>288</v>
      </c>
      <c r="B75" s="1" t="s">
        <v>12</v>
      </c>
      <c r="C75" s="1" t="s">
        <v>88</v>
      </c>
      <c r="D75" s="1">
        <v>90000</v>
      </c>
      <c r="E75" s="2">
        <v>42670</v>
      </c>
    </row>
    <row r="76" spans="1:5" x14ac:dyDescent="0.3">
      <c r="A76" s="1" t="s">
        <v>289</v>
      </c>
      <c r="B76" s="1" t="s">
        <v>14</v>
      </c>
      <c r="C76" s="1" t="s">
        <v>89</v>
      </c>
      <c r="D76" s="1">
        <v>62000</v>
      </c>
      <c r="E76" s="2">
        <v>43777</v>
      </c>
    </row>
    <row r="77" spans="1:5" x14ac:dyDescent="0.3">
      <c r="A77" s="1" t="s">
        <v>290</v>
      </c>
      <c r="B77" s="1" t="s">
        <v>16</v>
      </c>
      <c r="C77" s="1" t="s">
        <v>90</v>
      </c>
      <c r="D77" s="1">
        <v>73000</v>
      </c>
      <c r="E77" s="2">
        <v>43860</v>
      </c>
    </row>
    <row r="78" spans="1:5" x14ac:dyDescent="0.3">
      <c r="A78" s="1" t="s">
        <v>291</v>
      </c>
      <c r="B78" s="1" t="s">
        <v>18</v>
      </c>
      <c r="C78" s="1" t="s">
        <v>91</v>
      </c>
      <c r="D78" s="1">
        <v>56000</v>
      </c>
      <c r="E78" s="2">
        <v>42066</v>
      </c>
    </row>
    <row r="79" spans="1:5" x14ac:dyDescent="0.3">
      <c r="A79" s="1" t="s">
        <v>292</v>
      </c>
      <c r="B79" s="1" t="s">
        <v>20</v>
      </c>
      <c r="C79" s="1" t="s">
        <v>92</v>
      </c>
      <c r="D79" s="1">
        <v>67000</v>
      </c>
      <c r="E79" s="2">
        <v>43293</v>
      </c>
    </row>
    <row r="80" spans="1:5" x14ac:dyDescent="0.3">
      <c r="A80" s="1" t="s">
        <v>293</v>
      </c>
      <c r="B80" s="1" t="s">
        <v>22</v>
      </c>
      <c r="C80" s="1" t="s">
        <v>93</v>
      </c>
      <c r="D80" s="1">
        <v>71000</v>
      </c>
      <c r="E80" s="2">
        <v>44798</v>
      </c>
    </row>
    <row r="81" spans="1:5" x14ac:dyDescent="0.3">
      <c r="A81" s="1" t="s">
        <v>294</v>
      </c>
      <c r="B81" s="1" t="s">
        <v>24</v>
      </c>
      <c r="C81" s="1" t="s">
        <v>94</v>
      </c>
      <c r="D81" s="1">
        <v>64000</v>
      </c>
      <c r="E81" s="2">
        <v>42992</v>
      </c>
    </row>
    <row r="82" spans="1:5" x14ac:dyDescent="0.3">
      <c r="A82" s="1" t="s">
        <v>295</v>
      </c>
      <c r="B82" s="1" t="s">
        <v>6</v>
      </c>
      <c r="C82" s="1" t="s">
        <v>95</v>
      </c>
      <c r="D82" s="1">
        <v>52000</v>
      </c>
      <c r="E82" s="2">
        <v>43590</v>
      </c>
    </row>
    <row r="83" spans="1:5" x14ac:dyDescent="0.3">
      <c r="A83" s="1" t="s">
        <v>296</v>
      </c>
      <c r="B83" s="1" t="s">
        <v>8</v>
      </c>
      <c r="C83" s="1" t="s">
        <v>96</v>
      </c>
      <c r="D83" s="1">
        <v>48000</v>
      </c>
      <c r="E83" s="2">
        <v>43913</v>
      </c>
    </row>
    <row r="84" spans="1:5" x14ac:dyDescent="0.3">
      <c r="A84" s="1" t="s">
        <v>297</v>
      </c>
      <c r="B84" s="1" t="s">
        <v>10</v>
      </c>
      <c r="C84" s="1" t="s">
        <v>97</v>
      </c>
      <c r="D84" s="1">
        <v>75000</v>
      </c>
      <c r="E84" s="2">
        <v>43130</v>
      </c>
    </row>
    <row r="85" spans="1:5" x14ac:dyDescent="0.3">
      <c r="A85" s="1" t="s">
        <v>298</v>
      </c>
      <c r="B85" s="1" t="s">
        <v>12</v>
      </c>
      <c r="C85" s="1" t="s">
        <v>98</v>
      </c>
      <c r="D85" s="1">
        <v>61000</v>
      </c>
      <c r="E85" s="2">
        <v>44396</v>
      </c>
    </row>
    <row r="86" spans="1:5" x14ac:dyDescent="0.3">
      <c r="A86" s="1" t="s">
        <v>299</v>
      </c>
      <c r="B86" s="1" t="s">
        <v>14</v>
      </c>
      <c r="C86" s="1" t="s">
        <v>99</v>
      </c>
      <c r="D86" s="1">
        <v>69000</v>
      </c>
      <c r="E86" s="2">
        <v>42741</v>
      </c>
    </row>
    <row r="87" spans="1:5" x14ac:dyDescent="0.3">
      <c r="A87" s="1" t="s">
        <v>300</v>
      </c>
      <c r="B87" s="1" t="s">
        <v>16</v>
      </c>
      <c r="C87" s="1" t="s">
        <v>100</v>
      </c>
      <c r="D87" s="1">
        <v>72000</v>
      </c>
      <c r="E87" s="2">
        <v>44845</v>
      </c>
    </row>
    <row r="88" spans="1:5" x14ac:dyDescent="0.3">
      <c r="A88" s="1" t="s">
        <v>301</v>
      </c>
      <c r="B88" s="1" t="s">
        <v>18</v>
      </c>
      <c r="C88" s="1" t="s">
        <v>101</v>
      </c>
      <c r="D88" s="1">
        <v>50000</v>
      </c>
      <c r="E88" s="2">
        <v>43579</v>
      </c>
    </row>
    <row r="89" spans="1:5" x14ac:dyDescent="0.3">
      <c r="A89" s="1" t="s">
        <v>302</v>
      </c>
      <c r="B89" s="1" t="s">
        <v>20</v>
      </c>
      <c r="C89" s="1" t="s">
        <v>102</v>
      </c>
      <c r="D89" s="1">
        <v>66000</v>
      </c>
      <c r="E89" s="2">
        <v>44168</v>
      </c>
    </row>
    <row r="90" spans="1:5" x14ac:dyDescent="0.3">
      <c r="A90" s="1" t="s">
        <v>303</v>
      </c>
      <c r="B90" s="1" t="s">
        <v>22</v>
      </c>
      <c r="C90" s="1" t="s">
        <v>103</v>
      </c>
      <c r="D90" s="1">
        <v>58000</v>
      </c>
      <c r="E90" s="2">
        <v>42687</v>
      </c>
    </row>
    <row r="91" spans="1:5" x14ac:dyDescent="0.3">
      <c r="A91" s="1" t="s">
        <v>304</v>
      </c>
      <c r="B91" s="1" t="s">
        <v>24</v>
      </c>
      <c r="C91" s="1" t="s">
        <v>104</v>
      </c>
      <c r="D91" s="1">
        <v>45000</v>
      </c>
      <c r="E91" s="2">
        <v>42036</v>
      </c>
    </row>
    <row r="92" spans="1:5" x14ac:dyDescent="0.3">
      <c r="A92" s="1" t="s">
        <v>305</v>
      </c>
      <c r="B92" s="1" t="s">
        <v>6</v>
      </c>
      <c r="C92" s="1" t="s">
        <v>105</v>
      </c>
      <c r="D92" s="1">
        <v>80000</v>
      </c>
      <c r="E92" s="2">
        <v>43175</v>
      </c>
    </row>
    <row r="93" spans="1:5" x14ac:dyDescent="0.3">
      <c r="A93" s="1" t="s">
        <v>306</v>
      </c>
      <c r="B93" s="1" t="s">
        <v>8</v>
      </c>
      <c r="C93" s="1" t="s">
        <v>106</v>
      </c>
      <c r="D93" s="1">
        <v>54000</v>
      </c>
      <c r="E93" s="2">
        <v>42952</v>
      </c>
    </row>
    <row r="94" spans="1:5" x14ac:dyDescent="0.3">
      <c r="A94" s="1" t="s">
        <v>307</v>
      </c>
      <c r="B94" s="1" t="s">
        <v>10</v>
      </c>
      <c r="C94" s="1" t="s">
        <v>107</v>
      </c>
      <c r="D94" s="1">
        <v>47000</v>
      </c>
      <c r="E94" s="2">
        <v>44467</v>
      </c>
    </row>
    <row r="95" spans="1:5" x14ac:dyDescent="0.3">
      <c r="A95" s="1" t="s">
        <v>308</v>
      </c>
      <c r="B95" s="1" t="s">
        <v>12</v>
      </c>
      <c r="C95" s="1" t="s">
        <v>108</v>
      </c>
      <c r="D95" s="1">
        <v>90000</v>
      </c>
      <c r="E95" s="2">
        <v>42502</v>
      </c>
    </row>
    <row r="96" spans="1:5" x14ac:dyDescent="0.3">
      <c r="A96" s="1" t="s">
        <v>309</v>
      </c>
      <c r="B96" s="1" t="s">
        <v>14</v>
      </c>
      <c r="C96" s="1" t="s">
        <v>109</v>
      </c>
      <c r="D96" s="1">
        <v>62000</v>
      </c>
      <c r="E96" s="2">
        <v>43820</v>
      </c>
    </row>
    <row r="97" spans="1:5" x14ac:dyDescent="0.3">
      <c r="A97" s="1" t="s">
        <v>310</v>
      </c>
      <c r="B97" s="1" t="s">
        <v>16</v>
      </c>
      <c r="C97" s="1" t="s">
        <v>110</v>
      </c>
      <c r="D97" s="1">
        <v>73000</v>
      </c>
      <c r="E97" s="2">
        <v>43927</v>
      </c>
    </row>
    <row r="98" spans="1:5" x14ac:dyDescent="0.3">
      <c r="A98" s="1" t="s">
        <v>311</v>
      </c>
      <c r="B98" s="1" t="s">
        <v>18</v>
      </c>
      <c r="C98" s="1" t="s">
        <v>111</v>
      </c>
      <c r="D98" s="1">
        <v>56000</v>
      </c>
      <c r="E98" s="2">
        <v>42210</v>
      </c>
    </row>
    <row r="99" spans="1:5" x14ac:dyDescent="0.3">
      <c r="A99" s="1" t="s">
        <v>312</v>
      </c>
      <c r="B99" s="1" t="s">
        <v>20</v>
      </c>
      <c r="C99" s="1" t="s">
        <v>112</v>
      </c>
      <c r="D99" s="1">
        <v>67000</v>
      </c>
      <c r="E99" s="2">
        <v>43373</v>
      </c>
    </row>
    <row r="100" spans="1:5" x14ac:dyDescent="0.3">
      <c r="A100" s="1" t="s">
        <v>313</v>
      </c>
      <c r="B100" s="1" t="s">
        <v>22</v>
      </c>
      <c r="C100" s="1" t="s">
        <v>113</v>
      </c>
      <c r="D100" s="1">
        <v>71000</v>
      </c>
      <c r="E100" s="2">
        <v>44606</v>
      </c>
    </row>
    <row r="101" spans="1:5" x14ac:dyDescent="0.3">
      <c r="A101" s="1" t="s">
        <v>314</v>
      </c>
      <c r="B101" s="1" t="s">
        <v>24</v>
      </c>
      <c r="C101" s="1" t="s">
        <v>114</v>
      </c>
      <c r="D101" s="1">
        <v>64000</v>
      </c>
      <c r="E101" s="2">
        <v>42887</v>
      </c>
    </row>
    <row r="102" spans="1:5" x14ac:dyDescent="0.3">
      <c r="A102" s="1" t="s">
        <v>315</v>
      </c>
      <c r="B102" s="1" t="s">
        <v>6</v>
      </c>
      <c r="C102" s="1" t="s">
        <v>115</v>
      </c>
      <c r="D102" s="1">
        <v>52000</v>
      </c>
      <c r="E102" s="2">
        <v>43717</v>
      </c>
    </row>
    <row r="103" spans="1:5" x14ac:dyDescent="0.3">
      <c r="A103" s="1" t="s">
        <v>316</v>
      </c>
      <c r="B103" s="1" t="s">
        <v>8</v>
      </c>
      <c r="C103" s="1" t="s">
        <v>116</v>
      </c>
      <c r="D103" s="1">
        <v>48000</v>
      </c>
      <c r="E103" s="2">
        <v>43848</v>
      </c>
    </row>
    <row r="104" spans="1:5" x14ac:dyDescent="0.3">
      <c r="A104" s="1" t="s">
        <v>317</v>
      </c>
      <c r="B104" s="1" t="s">
        <v>10</v>
      </c>
      <c r="C104" s="1" t="s">
        <v>117</v>
      </c>
      <c r="D104" s="1">
        <v>75000</v>
      </c>
      <c r="E104" s="2">
        <v>43258</v>
      </c>
    </row>
    <row r="105" spans="1:5" x14ac:dyDescent="0.3">
      <c r="A105" s="1" t="s">
        <v>318</v>
      </c>
      <c r="B105" s="1" t="s">
        <v>12</v>
      </c>
      <c r="C105" s="1" t="s">
        <v>118</v>
      </c>
      <c r="D105" s="1">
        <v>61000</v>
      </c>
      <c r="E105" s="2">
        <v>44280</v>
      </c>
    </row>
    <row r="106" spans="1:5" x14ac:dyDescent="0.3">
      <c r="A106" s="1" t="s">
        <v>319</v>
      </c>
      <c r="B106" s="1" t="s">
        <v>14</v>
      </c>
      <c r="C106" s="1" t="s">
        <v>119</v>
      </c>
      <c r="D106" s="1">
        <v>69000</v>
      </c>
      <c r="E106" s="2">
        <v>43010</v>
      </c>
    </row>
    <row r="107" spans="1:5" x14ac:dyDescent="0.3">
      <c r="A107" s="1" t="s">
        <v>320</v>
      </c>
      <c r="B107" s="1" t="s">
        <v>16</v>
      </c>
      <c r="C107" s="1" t="s">
        <v>120</v>
      </c>
      <c r="D107" s="1">
        <v>72000</v>
      </c>
      <c r="E107" s="2">
        <v>44758</v>
      </c>
    </row>
    <row r="108" spans="1:5" x14ac:dyDescent="0.3">
      <c r="A108" s="1" t="s">
        <v>321</v>
      </c>
      <c r="B108" s="1" t="s">
        <v>18</v>
      </c>
      <c r="C108" s="1" t="s">
        <v>121</v>
      </c>
      <c r="D108" s="1">
        <v>50000</v>
      </c>
      <c r="E108" s="2">
        <v>43523</v>
      </c>
    </row>
    <row r="109" spans="1:5" x14ac:dyDescent="0.3">
      <c r="A109" s="1" t="s">
        <v>322</v>
      </c>
      <c r="B109" s="1" t="s">
        <v>20</v>
      </c>
      <c r="C109" s="1" t="s">
        <v>122</v>
      </c>
      <c r="D109" s="1">
        <v>66000</v>
      </c>
      <c r="E109" s="2">
        <v>43955</v>
      </c>
    </row>
    <row r="110" spans="1:5" x14ac:dyDescent="0.3">
      <c r="A110" s="1" t="s">
        <v>323</v>
      </c>
      <c r="B110" s="1" t="s">
        <v>22</v>
      </c>
      <c r="C110" s="1" t="s">
        <v>123</v>
      </c>
      <c r="D110" s="1">
        <v>58000</v>
      </c>
      <c r="E110" s="2">
        <v>42380</v>
      </c>
    </row>
    <row r="111" spans="1:5" x14ac:dyDescent="0.3">
      <c r="A111" s="1" t="s">
        <v>324</v>
      </c>
      <c r="B111" s="1" t="s">
        <v>24</v>
      </c>
      <c r="C111" s="1" t="s">
        <v>124</v>
      </c>
      <c r="D111" s="1">
        <v>45000</v>
      </c>
      <c r="E111" s="2">
        <v>42328</v>
      </c>
    </row>
    <row r="112" spans="1:5" x14ac:dyDescent="0.3">
      <c r="A112" s="1" t="s">
        <v>325</v>
      </c>
      <c r="B112" s="1" t="s">
        <v>6</v>
      </c>
      <c r="C112" s="1" t="s">
        <v>125</v>
      </c>
      <c r="D112" s="1">
        <v>80000</v>
      </c>
      <c r="E112" s="2">
        <v>43433</v>
      </c>
    </row>
    <row r="113" spans="1:5" x14ac:dyDescent="0.3">
      <c r="A113" s="1" t="s">
        <v>326</v>
      </c>
      <c r="B113" s="1" t="s">
        <v>8</v>
      </c>
      <c r="C113" s="1" t="s">
        <v>126</v>
      </c>
      <c r="D113" s="1">
        <v>54000</v>
      </c>
      <c r="E113" s="2">
        <v>42780</v>
      </c>
    </row>
    <row r="114" spans="1:5" x14ac:dyDescent="0.3">
      <c r="A114" s="1" t="s">
        <v>327</v>
      </c>
      <c r="B114" s="1" t="s">
        <v>10</v>
      </c>
      <c r="C114" s="1" t="s">
        <v>127</v>
      </c>
      <c r="D114" s="1">
        <v>47000</v>
      </c>
      <c r="E114" s="2">
        <v>44411</v>
      </c>
    </row>
    <row r="115" spans="1:5" x14ac:dyDescent="0.3">
      <c r="A115" s="1" t="s">
        <v>328</v>
      </c>
      <c r="B115" s="1" t="s">
        <v>12</v>
      </c>
      <c r="C115" s="1" t="s">
        <v>128</v>
      </c>
      <c r="D115" s="1">
        <v>90000</v>
      </c>
      <c r="E115" s="2">
        <v>42451</v>
      </c>
    </row>
    <row r="116" spans="1:5" x14ac:dyDescent="0.3">
      <c r="A116" s="1" t="s">
        <v>329</v>
      </c>
      <c r="B116" s="1" t="s">
        <v>14</v>
      </c>
      <c r="C116" s="1" t="s">
        <v>129</v>
      </c>
      <c r="D116" s="1">
        <v>62000</v>
      </c>
      <c r="E116" s="2">
        <v>43496</v>
      </c>
    </row>
    <row r="117" spans="1:5" x14ac:dyDescent="0.3">
      <c r="A117" s="1" t="s">
        <v>330</v>
      </c>
      <c r="B117" s="1" t="s">
        <v>16</v>
      </c>
      <c r="C117" s="1" t="s">
        <v>130</v>
      </c>
      <c r="D117" s="1">
        <v>73000</v>
      </c>
      <c r="E117" s="2">
        <v>44086</v>
      </c>
    </row>
    <row r="118" spans="1:5" x14ac:dyDescent="0.3">
      <c r="A118" s="1" t="s">
        <v>331</v>
      </c>
      <c r="B118" s="1" t="s">
        <v>18</v>
      </c>
      <c r="C118" s="1" t="s">
        <v>131</v>
      </c>
      <c r="D118" s="1">
        <v>56000</v>
      </c>
      <c r="E118" s="2">
        <v>42125</v>
      </c>
    </row>
    <row r="119" spans="1:5" x14ac:dyDescent="0.3">
      <c r="A119" s="1" t="s">
        <v>332</v>
      </c>
      <c r="B119" s="1" t="s">
        <v>20</v>
      </c>
      <c r="C119" s="1" t="s">
        <v>132</v>
      </c>
      <c r="D119" s="1">
        <v>67000</v>
      </c>
      <c r="E119" s="2">
        <v>43393</v>
      </c>
    </row>
    <row r="120" spans="1:5" x14ac:dyDescent="0.3">
      <c r="A120" s="1" t="s">
        <v>333</v>
      </c>
      <c r="B120" s="1" t="s">
        <v>22</v>
      </c>
      <c r="C120" s="1" t="s">
        <v>133</v>
      </c>
      <c r="D120" s="1">
        <v>71000</v>
      </c>
      <c r="E120" s="2">
        <v>44872</v>
      </c>
    </row>
    <row r="121" spans="1:5" x14ac:dyDescent="0.3">
      <c r="A121" s="1" t="s">
        <v>334</v>
      </c>
      <c r="B121" s="1" t="s">
        <v>24</v>
      </c>
      <c r="C121" s="1" t="s">
        <v>134</v>
      </c>
      <c r="D121" s="1">
        <v>64000</v>
      </c>
      <c r="E121" s="2">
        <v>42851</v>
      </c>
    </row>
    <row r="122" spans="1:5" x14ac:dyDescent="0.3">
      <c r="A122" s="1" t="s">
        <v>335</v>
      </c>
      <c r="B122" s="1" t="s">
        <v>6</v>
      </c>
      <c r="C122" s="1" t="s">
        <v>135</v>
      </c>
      <c r="D122" s="1">
        <v>52000</v>
      </c>
      <c r="E122" s="2">
        <v>43784</v>
      </c>
    </row>
    <row r="123" spans="1:5" x14ac:dyDescent="0.3">
      <c r="A123" s="1" t="s">
        <v>336</v>
      </c>
      <c r="B123" s="1" t="s">
        <v>8</v>
      </c>
      <c r="C123" s="1" t="s">
        <v>136</v>
      </c>
      <c r="D123" s="1">
        <v>48000</v>
      </c>
      <c r="E123" s="2">
        <v>44072</v>
      </c>
    </row>
    <row r="124" spans="1:5" x14ac:dyDescent="0.3">
      <c r="A124" s="1" t="s">
        <v>337</v>
      </c>
      <c r="B124" s="1" t="s">
        <v>10</v>
      </c>
      <c r="C124" s="1" t="s">
        <v>137</v>
      </c>
      <c r="D124" s="1">
        <v>75000</v>
      </c>
      <c r="E124" s="2">
        <v>43164</v>
      </c>
    </row>
    <row r="125" spans="1:5" x14ac:dyDescent="0.3">
      <c r="A125" s="1" t="s">
        <v>338</v>
      </c>
      <c r="B125" s="1" t="s">
        <v>12</v>
      </c>
      <c r="C125" s="1" t="s">
        <v>138</v>
      </c>
      <c r="D125" s="1">
        <v>61000</v>
      </c>
      <c r="E125" s="2">
        <v>44337</v>
      </c>
    </row>
    <row r="126" spans="1:5" x14ac:dyDescent="0.3">
      <c r="A126" s="1" t="s">
        <v>339</v>
      </c>
      <c r="B126" s="1" t="s">
        <v>14</v>
      </c>
      <c r="C126" s="1" t="s">
        <v>139</v>
      </c>
      <c r="D126" s="1">
        <v>69000</v>
      </c>
      <c r="E126" s="2">
        <v>42986</v>
      </c>
    </row>
    <row r="127" spans="1:5" x14ac:dyDescent="0.3">
      <c r="A127" s="1" t="s">
        <v>340</v>
      </c>
      <c r="B127" s="1" t="s">
        <v>16</v>
      </c>
      <c r="C127" s="1" t="s">
        <v>140</v>
      </c>
      <c r="D127" s="1">
        <v>72000</v>
      </c>
      <c r="E127" s="2">
        <v>44594</v>
      </c>
    </row>
    <row r="128" spans="1:5" x14ac:dyDescent="0.3">
      <c r="A128" s="1" t="s">
        <v>341</v>
      </c>
      <c r="B128" s="1" t="s">
        <v>18</v>
      </c>
      <c r="C128" s="1" t="s">
        <v>141</v>
      </c>
      <c r="D128" s="1">
        <v>50000</v>
      </c>
      <c r="E128" s="2">
        <v>43633</v>
      </c>
    </row>
    <row r="129" spans="1:5" x14ac:dyDescent="0.3">
      <c r="A129" s="1" t="s">
        <v>342</v>
      </c>
      <c r="B129" s="1" t="s">
        <v>20</v>
      </c>
      <c r="C129" s="1" t="s">
        <v>142</v>
      </c>
      <c r="D129" s="1">
        <v>66000</v>
      </c>
      <c r="E129" s="2">
        <v>44127</v>
      </c>
    </row>
    <row r="130" spans="1:5" x14ac:dyDescent="0.3">
      <c r="A130" s="1" t="s">
        <v>343</v>
      </c>
      <c r="B130" s="1" t="s">
        <v>22</v>
      </c>
      <c r="C130" s="1" t="s">
        <v>143</v>
      </c>
      <c r="D130" s="1">
        <v>58000</v>
      </c>
      <c r="E130" s="2">
        <v>42490</v>
      </c>
    </row>
    <row r="131" spans="1:5" x14ac:dyDescent="0.3">
      <c r="A131" s="1" t="s">
        <v>344</v>
      </c>
      <c r="B131" s="1" t="s">
        <v>24</v>
      </c>
      <c r="C131" s="1" t="s">
        <v>144</v>
      </c>
      <c r="D131" s="1">
        <v>45000</v>
      </c>
      <c r="E131" s="2">
        <v>42192</v>
      </c>
    </row>
    <row r="132" spans="1:5" x14ac:dyDescent="0.3">
      <c r="A132" s="1" t="s">
        <v>345</v>
      </c>
      <c r="B132" s="1" t="s">
        <v>6</v>
      </c>
      <c r="C132" s="1" t="s">
        <v>145</v>
      </c>
      <c r="D132" s="1">
        <v>80000</v>
      </c>
      <c r="E132" s="2">
        <v>43452</v>
      </c>
    </row>
    <row r="133" spans="1:5" x14ac:dyDescent="0.3">
      <c r="A133" s="1" t="s">
        <v>346</v>
      </c>
      <c r="B133" s="1" t="s">
        <v>8</v>
      </c>
      <c r="C133" s="1" t="s">
        <v>146</v>
      </c>
      <c r="D133" s="1">
        <v>54000</v>
      </c>
      <c r="E133" s="2">
        <v>43040</v>
      </c>
    </row>
    <row r="134" spans="1:5" x14ac:dyDescent="0.3">
      <c r="A134" s="1" t="s">
        <v>347</v>
      </c>
      <c r="B134" s="1" t="s">
        <v>10</v>
      </c>
      <c r="C134" s="1" t="s">
        <v>147</v>
      </c>
      <c r="D134" s="1">
        <v>47000</v>
      </c>
      <c r="E134" s="2">
        <v>44209</v>
      </c>
    </row>
    <row r="135" spans="1:5" x14ac:dyDescent="0.3">
      <c r="A135" s="1" t="s">
        <v>348</v>
      </c>
      <c r="B135" s="1" t="s">
        <v>12</v>
      </c>
      <c r="C135" s="1" t="s">
        <v>148</v>
      </c>
      <c r="D135" s="1">
        <v>90000</v>
      </c>
      <c r="E135" s="2">
        <v>42606</v>
      </c>
    </row>
    <row r="136" spans="1:5" x14ac:dyDescent="0.3">
      <c r="A136" s="1" t="s">
        <v>349</v>
      </c>
      <c r="B136" s="1" t="s">
        <v>14</v>
      </c>
      <c r="C136" s="1" t="s">
        <v>149</v>
      </c>
      <c r="D136" s="1">
        <v>62000</v>
      </c>
      <c r="E136" s="2">
        <v>43501</v>
      </c>
    </row>
    <row r="137" spans="1:5" x14ac:dyDescent="0.3">
      <c r="A137" s="1" t="s">
        <v>350</v>
      </c>
      <c r="B137" s="1" t="s">
        <v>16</v>
      </c>
      <c r="C137" s="1" t="s">
        <v>150</v>
      </c>
      <c r="D137" s="1">
        <v>73000</v>
      </c>
      <c r="E137" s="2">
        <v>44012</v>
      </c>
    </row>
    <row r="138" spans="1:5" x14ac:dyDescent="0.3">
      <c r="A138" s="1" t="s">
        <v>351</v>
      </c>
      <c r="B138" s="1" t="s">
        <v>18</v>
      </c>
      <c r="C138" s="1" t="s">
        <v>151</v>
      </c>
      <c r="D138" s="1">
        <v>56000</v>
      </c>
      <c r="E138" s="2">
        <v>42266</v>
      </c>
    </row>
    <row r="139" spans="1:5" x14ac:dyDescent="0.3">
      <c r="A139" s="1" t="s">
        <v>352</v>
      </c>
      <c r="B139" s="1" t="s">
        <v>20</v>
      </c>
      <c r="C139" s="1" t="s">
        <v>152</v>
      </c>
      <c r="D139" s="1">
        <v>67000</v>
      </c>
      <c r="E139" s="2">
        <v>43198</v>
      </c>
    </row>
    <row r="140" spans="1:5" x14ac:dyDescent="0.3">
      <c r="A140" s="1" t="s">
        <v>353</v>
      </c>
      <c r="B140" s="1" t="s">
        <v>22</v>
      </c>
      <c r="C140" s="1" t="s">
        <v>153</v>
      </c>
      <c r="D140" s="1">
        <v>71000</v>
      </c>
      <c r="E140" s="2">
        <v>44805</v>
      </c>
    </row>
    <row r="141" spans="1:5" x14ac:dyDescent="0.3">
      <c r="A141" s="1" t="s">
        <v>354</v>
      </c>
      <c r="B141" s="1" t="s">
        <v>24</v>
      </c>
      <c r="C141" s="1" t="s">
        <v>154</v>
      </c>
      <c r="D141" s="1">
        <v>64000</v>
      </c>
      <c r="E141" s="2">
        <v>43079</v>
      </c>
    </row>
    <row r="142" spans="1:5" x14ac:dyDescent="0.3">
      <c r="A142" s="1" t="s">
        <v>355</v>
      </c>
      <c r="B142" s="1" t="s">
        <v>6</v>
      </c>
      <c r="C142" s="1" t="s">
        <v>155</v>
      </c>
      <c r="D142" s="1">
        <v>52000</v>
      </c>
      <c r="E142" s="2">
        <v>43557</v>
      </c>
    </row>
    <row r="143" spans="1:5" x14ac:dyDescent="0.3">
      <c r="A143" s="1" t="s">
        <v>356</v>
      </c>
      <c r="B143" s="1" t="s">
        <v>8</v>
      </c>
      <c r="C143" s="1" t="s">
        <v>156</v>
      </c>
      <c r="D143" s="1">
        <v>48000</v>
      </c>
      <c r="E143" s="2">
        <v>43872</v>
      </c>
    </row>
    <row r="144" spans="1:5" x14ac:dyDescent="0.3">
      <c r="A144" s="1" t="s">
        <v>357</v>
      </c>
      <c r="B144" s="1" t="s">
        <v>10</v>
      </c>
      <c r="C144" s="1" t="s">
        <v>157</v>
      </c>
      <c r="D144" s="1">
        <v>75000</v>
      </c>
      <c r="E144" s="2">
        <v>43307</v>
      </c>
    </row>
    <row r="145" spans="1:5" x14ac:dyDescent="0.3">
      <c r="A145" s="1" t="s">
        <v>358</v>
      </c>
      <c r="B145" s="1" t="s">
        <v>12</v>
      </c>
      <c r="C145" s="1" t="s">
        <v>158</v>
      </c>
      <c r="D145" s="1">
        <v>61000</v>
      </c>
      <c r="E145" s="2">
        <v>44484</v>
      </c>
    </row>
    <row r="146" spans="1:5" x14ac:dyDescent="0.3">
      <c r="A146" s="1" t="s">
        <v>359</v>
      </c>
      <c r="B146" s="1" t="s">
        <v>14</v>
      </c>
      <c r="C146" s="1" t="s">
        <v>159</v>
      </c>
      <c r="D146" s="1">
        <v>69000</v>
      </c>
      <c r="E146" s="2">
        <v>42879</v>
      </c>
    </row>
    <row r="147" spans="1:5" x14ac:dyDescent="0.3">
      <c r="A147" s="1" t="s">
        <v>360</v>
      </c>
      <c r="B147" s="1" t="s">
        <v>16</v>
      </c>
      <c r="C147" s="1" t="s">
        <v>160</v>
      </c>
      <c r="D147" s="1">
        <v>72000</v>
      </c>
      <c r="E147" s="2">
        <v>44623</v>
      </c>
    </row>
    <row r="148" spans="1:5" x14ac:dyDescent="0.3">
      <c r="A148" s="1" t="s">
        <v>361</v>
      </c>
      <c r="B148" s="1" t="s">
        <v>18</v>
      </c>
      <c r="C148" s="1" t="s">
        <v>161</v>
      </c>
      <c r="D148" s="1">
        <v>50000</v>
      </c>
      <c r="E148" s="2">
        <v>43485</v>
      </c>
    </row>
    <row r="149" spans="1:5" x14ac:dyDescent="0.3">
      <c r="A149" s="1" t="s">
        <v>362</v>
      </c>
      <c r="B149" s="1" t="s">
        <v>20</v>
      </c>
      <c r="C149" s="1" t="s">
        <v>162</v>
      </c>
      <c r="D149" s="1">
        <v>66000</v>
      </c>
      <c r="E149" s="2">
        <v>44021</v>
      </c>
    </row>
    <row r="150" spans="1:5" x14ac:dyDescent="0.3">
      <c r="A150" s="1" t="s">
        <v>363</v>
      </c>
      <c r="B150" s="1" t="s">
        <v>22</v>
      </c>
      <c r="C150" s="1" t="s">
        <v>163</v>
      </c>
      <c r="D150" s="1">
        <v>58000</v>
      </c>
      <c r="E150" s="2">
        <v>42671</v>
      </c>
    </row>
    <row r="151" spans="1:5" x14ac:dyDescent="0.3">
      <c r="A151" s="1" t="s">
        <v>364</v>
      </c>
      <c r="B151" s="1" t="s">
        <v>24</v>
      </c>
      <c r="C151" s="1" t="s">
        <v>164</v>
      </c>
      <c r="D151" s="1">
        <v>45000</v>
      </c>
      <c r="E151" s="2">
        <v>42075</v>
      </c>
    </row>
    <row r="152" spans="1:5" x14ac:dyDescent="0.3">
      <c r="A152" s="1" t="s">
        <v>365</v>
      </c>
      <c r="B152" s="1" t="s">
        <v>6</v>
      </c>
      <c r="C152" s="1" t="s">
        <v>165</v>
      </c>
      <c r="D152" s="1">
        <v>80000</v>
      </c>
      <c r="E152" s="2">
        <v>43221</v>
      </c>
    </row>
    <row r="153" spans="1:5" x14ac:dyDescent="0.3">
      <c r="A153" s="1" t="s">
        <v>366</v>
      </c>
      <c r="B153" s="1" t="s">
        <v>8</v>
      </c>
      <c r="C153" s="1" t="s">
        <v>166</v>
      </c>
      <c r="D153" s="1">
        <v>54000</v>
      </c>
      <c r="E153" s="2">
        <v>42902</v>
      </c>
    </row>
    <row r="154" spans="1:5" x14ac:dyDescent="0.3">
      <c r="A154" s="1" t="s">
        <v>367</v>
      </c>
      <c r="B154" s="1" t="s">
        <v>10</v>
      </c>
      <c r="C154" s="1" t="s">
        <v>167</v>
      </c>
      <c r="D154" s="1">
        <v>47000</v>
      </c>
      <c r="E154" s="2">
        <v>44231</v>
      </c>
    </row>
    <row r="155" spans="1:5" x14ac:dyDescent="0.3">
      <c r="A155" s="1" t="s">
        <v>368</v>
      </c>
      <c r="B155" s="1" t="s">
        <v>12</v>
      </c>
      <c r="C155" s="1" t="s">
        <v>168</v>
      </c>
      <c r="D155" s="1">
        <v>90000</v>
      </c>
      <c r="E155" s="2">
        <v>42697</v>
      </c>
    </row>
    <row r="156" spans="1:5" x14ac:dyDescent="0.3">
      <c r="A156" s="1" t="s">
        <v>369</v>
      </c>
      <c r="B156" s="1" t="s">
        <v>14</v>
      </c>
      <c r="C156" s="1" t="s">
        <v>169</v>
      </c>
      <c r="D156" s="1">
        <v>62000</v>
      </c>
      <c r="E156" s="2">
        <v>43689</v>
      </c>
    </row>
    <row r="157" spans="1:5" x14ac:dyDescent="0.3">
      <c r="A157" s="1" t="s">
        <v>370</v>
      </c>
      <c r="B157" s="1" t="s">
        <v>16</v>
      </c>
      <c r="C157" s="1" t="s">
        <v>170</v>
      </c>
      <c r="D157" s="1">
        <v>73000</v>
      </c>
      <c r="E157" s="2">
        <v>44194</v>
      </c>
    </row>
    <row r="158" spans="1:5" x14ac:dyDescent="0.3">
      <c r="A158" s="1" t="s">
        <v>371</v>
      </c>
      <c r="B158" s="1" t="s">
        <v>18</v>
      </c>
      <c r="C158" s="1" t="s">
        <v>171</v>
      </c>
      <c r="D158" s="1">
        <v>56000</v>
      </c>
      <c r="E158" s="2">
        <v>42011</v>
      </c>
    </row>
    <row r="159" spans="1:5" x14ac:dyDescent="0.3">
      <c r="A159" s="1" t="s">
        <v>372</v>
      </c>
      <c r="B159" s="1" t="s">
        <v>20</v>
      </c>
      <c r="C159" s="1" t="s">
        <v>172</v>
      </c>
      <c r="D159" s="1">
        <v>67000</v>
      </c>
      <c r="E159" s="2">
        <v>43269</v>
      </c>
    </row>
    <row r="160" spans="1:5" x14ac:dyDescent="0.3">
      <c r="A160" s="1" t="s">
        <v>373</v>
      </c>
      <c r="B160" s="1" t="s">
        <v>22</v>
      </c>
      <c r="C160" s="1" t="s">
        <v>173</v>
      </c>
      <c r="D160" s="1">
        <v>71000</v>
      </c>
      <c r="E160" s="2">
        <v>44706</v>
      </c>
    </row>
    <row r="161" spans="1:5" x14ac:dyDescent="0.3">
      <c r="A161" s="1" t="s">
        <v>374</v>
      </c>
      <c r="B161" s="1" t="s">
        <v>24</v>
      </c>
      <c r="C161" s="1" t="s">
        <v>174</v>
      </c>
      <c r="D161" s="1">
        <v>64000</v>
      </c>
      <c r="E161" s="2">
        <v>42768</v>
      </c>
    </row>
    <row r="162" spans="1:5" x14ac:dyDescent="0.3">
      <c r="A162" s="1" t="s">
        <v>375</v>
      </c>
      <c r="B162" s="1" t="s">
        <v>6</v>
      </c>
      <c r="C162" s="1" t="s">
        <v>175</v>
      </c>
      <c r="D162" s="1">
        <v>52000</v>
      </c>
      <c r="E162" s="2">
        <v>43758</v>
      </c>
    </row>
    <row r="163" spans="1:5" x14ac:dyDescent="0.3">
      <c r="A163" s="1" t="s">
        <v>376</v>
      </c>
      <c r="B163" s="1" t="s">
        <v>8</v>
      </c>
      <c r="C163" s="1" t="s">
        <v>176</v>
      </c>
      <c r="D163" s="1">
        <v>48000</v>
      </c>
      <c r="E163" s="2">
        <v>43922</v>
      </c>
    </row>
    <row r="164" spans="1:5" x14ac:dyDescent="0.3">
      <c r="A164" s="1" t="s">
        <v>377</v>
      </c>
      <c r="B164" s="1" t="s">
        <v>10</v>
      </c>
      <c r="C164" s="1" t="s">
        <v>177</v>
      </c>
      <c r="D164" s="1">
        <v>75000</v>
      </c>
      <c r="E164" s="2">
        <v>43356</v>
      </c>
    </row>
    <row r="165" spans="1:5" x14ac:dyDescent="0.3">
      <c r="A165" s="1" t="s">
        <v>378</v>
      </c>
      <c r="B165" s="1" t="s">
        <v>12</v>
      </c>
      <c r="C165" s="1" t="s">
        <v>178</v>
      </c>
      <c r="D165" s="1">
        <v>61000</v>
      </c>
      <c r="E165" s="2">
        <v>44353</v>
      </c>
    </row>
    <row r="166" spans="1:5" x14ac:dyDescent="0.3">
      <c r="A166" s="1" t="s">
        <v>379</v>
      </c>
      <c r="B166" s="1" t="s">
        <v>14</v>
      </c>
      <c r="C166" s="1" t="s">
        <v>179</v>
      </c>
      <c r="D166" s="1">
        <v>69000</v>
      </c>
      <c r="E166" s="2">
        <v>43066</v>
      </c>
    </row>
    <row r="167" spans="1:5" x14ac:dyDescent="0.3">
      <c r="A167" s="1" t="s">
        <v>380</v>
      </c>
      <c r="B167" s="1" t="s">
        <v>16</v>
      </c>
      <c r="C167" s="1" t="s">
        <v>180</v>
      </c>
      <c r="D167" s="1">
        <v>72000</v>
      </c>
      <c r="E167" s="2">
        <v>44576</v>
      </c>
    </row>
    <row r="168" spans="1:5" x14ac:dyDescent="0.3">
      <c r="A168" s="1" t="s">
        <v>381</v>
      </c>
      <c r="B168" s="1" t="s">
        <v>18</v>
      </c>
      <c r="C168" s="1" t="s">
        <v>181</v>
      </c>
      <c r="D168" s="1">
        <v>50000</v>
      </c>
      <c r="E168" s="2">
        <v>43532</v>
      </c>
    </row>
    <row r="169" spans="1:5" x14ac:dyDescent="0.3">
      <c r="A169" s="1" t="s">
        <v>382</v>
      </c>
      <c r="B169" s="1" t="s">
        <v>20</v>
      </c>
      <c r="C169" s="1" t="s">
        <v>182</v>
      </c>
      <c r="D169" s="1">
        <v>66000</v>
      </c>
      <c r="E169" s="2">
        <v>44063</v>
      </c>
    </row>
    <row r="170" spans="1:5" x14ac:dyDescent="0.3">
      <c r="A170" s="1" t="s">
        <v>383</v>
      </c>
      <c r="B170" s="1" t="s">
        <v>22</v>
      </c>
      <c r="C170" s="1" t="s">
        <v>183</v>
      </c>
      <c r="D170" s="1">
        <v>58000</v>
      </c>
      <c r="E170" s="2">
        <v>42409</v>
      </c>
    </row>
    <row r="171" spans="1:5" x14ac:dyDescent="0.3">
      <c r="A171" s="1" t="s">
        <v>384</v>
      </c>
      <c r="B171" s="1" t="s">
        <v>24</v>
      </c>
      <c r="C171" s="1" t="s">
        <v>184</v>
      </c>
      <c r="D171" s="1">
        <v>45000</v>
      </c>
      <c r="E171" s="2">
        <v>42277</v>
      </c>
    </row>
    <row r="172" spans="1:5" x14ac:dyDescent="0.3">
      <c r="A172" s="1" t="s">
        <v>385</v>
      </c>
      <c r="B172" s="1" t="s">
        <v>6</v>
      </c>
      <c r="C172" s="1" t="s">
        <v>185</v>
      </c>
      <c r="D172" s="1">
        <v>80000</v>
      </c>
      <c r="E172" s="2">
        <v>43119</v>
      </c>
    </row>
    <row r="173" spans="1:5" x14ac:dyDescent="0.3">
      <c r="A173" s="1" t="s">
        <v>386</v>
      </c>
      <c r="B173" s="1" t="s">
        <v>8</v>
      </c>
      <c r="C173" s="1" t="s">
        <v>186</v>
      </c>
      <c r="D173" s="1">
        <v>54000</v>
      </c>
      <c r="E173" s="2">
        <v>42822</v>
      </c>
    </row>
    <row r="174" spans="1:5" x14ac:dyDescent="0.3">
      <c r="A174" s="1" t="s">
        <v>387</v>
      </c>
      <c r="B174" s="1" t="s">
        <v>10</v>
      </c>
      <c r="C174" s="1" t="s">
        <v>187</v>
      </c>
      <c r="D174" s="1">
        <v>47000</v>
      </c>
      <c r="E174" s="2">
        <v>44325</v>
      </c>
    </row>
    <row r="175" spans="1:5" x14ac:dyDescent="0.3">
      <c r="A175" s="1" t="s">
        <v>388</v>
      </c>
      <c r="B175" s="1" t="s">
        <v>12</v>
      </c>
      <c r="C175" s="1" t="s">
        <v>188</v>
      </c>
      <c r="D175" s="1">
        <v>90000</v>
      </c>
      <c r="E175" s="2">
        <v>42535</v>
      </c>
    </row>
    <row r="176" spans="1:5" x14ac:dyDescent="0.3">
      <c r="A176" s="1" t="s">
        <v>389</v>
      </c>
      <c r="B176" s="1" t="s">
        <v>14</v>
      </c>
      <c r="C176" s="1" t="s">
        <v>189</v>
      </c>
      <c r="D176" s="1">
        <v>62000</v>
      </c>
      <c r="E176" s="2">
        <v>43669</v>
      </c>
    </row>
    <row r="177" spans="1:5" x14ac:dyDescent="0.3">
      <c r="A177" s="1" t="s">
        <v>390</v>
      </c>
      <c r="B177" s="1" t="s">
        <v>16</v>
      </c>
      <c r="C177" s="1" t="s">
        <v>190</v>
      </c>
      <c r="D177" s="1">
        <v>73000</v>
      </c>
      <c r="E177" s="2">
        <v>44139</v>
      </c>
    </row>
    <row r="178" spans="1:5" x14ac:dyDescent="0.3">
      <c r="A178" s="1" t="s">
        <v>391</v>
      </c>
      <c r="B178" s="1" t="s">
        <v>18</v>
      </c>
      <c r="C178" s="1" t="s">
        <v>191</v>
      </c>
      <c r="D178" s="1">
        <v>56000</v>
      </c>
      <c r="E178" s="2">
        <v>42217</v>
      </c>
    </row>
    <row r="179" spans="1:5" x14ac:dyDescent="0.3">
      <c r="A179" s="1" t="s">
        <v>392</v>
      </c>
      <c r="B179" s="1" t="s">
        <v>20</v>
      </c>
      <c r="C179" s="1" t="s">
        <v>192</v>
      </c>
      <c r="D179" s="1">
        <v>67000</v>
      </c>
      <c r="E179" s="2">
        <v>43169</v>
      </c>
    </row>
    <row r="180" spans="1:5" x14ac:dyDescent="0.3">
      <c r="A180" s="1" t="s">
        <v>393</v>
      </c>
      <c r="B180" s="1" t="s">
        <v>22</v>
      </c>
      <c r="C180" s="1" t="s">
        <v>193</v>
      </c>
      <c r="D180" s="1">
        <v>71000</v>
      </c>
      <c r="E180" s="2">
        <v>44740</v>
      </c>
    </row>
    <row r="181" spans="1:5" x14ac:dyDescent="0.3">
      <c r="A181" s="1" t="s">
        <v>394</v>
      </c>
      <c r="B181" s="1" t="s">
        <v>24</v>
      </c>
      <c r="C181" s="1" t="s">
        <v>194</v>
      </c>
      <c r="D181" s="1">
        <v>64000</v>
      </c>
      <c r="E181" s="2">
        <v>42737</v>
      </c>
    </row>
    <row r="182" spans="1:5" x14ac:dyDescent="0.3">
      <c r="A182" s="1" t="s">
        <v>395</v>
      </c>
      <c r="B182" s="1" t="s">
        <v>6</v>
      </c>
      <c r="C182" s="1" t="s">
        <v>195</v>
      </c>
      <c r="D182" s="1">
        <v>52000</v>
      </c>
      <c r="E182" s="2">
        <v>43622</v>
      </c>
    </row>
    <row r="183" spans="1:5" x14ac:dyDescent="0.3">
      <c r="A183" s="1" t="s">
        <v>396</v>
      </c>
      <c r="B183" s="1" t="s">
        <v>8</v>
      </c>
      <c r="C183" s="1" t="s">
        <v>196</v>
      </c>
      <c r="D183" s="1">
        <v>48000</v>
      </c>
      <c r="E183" s="2">
        <v>44091</v>
      </c>
    </row>
    <row r="184" spans="1:5" x14ac:dyDescent="0.3">
      <c r="A184" s="1" t="s">
        <v>397</v>
      </c>
      <c r="B184" s="1" t="s">
        <v>10</v>
      </c>
      <c r="C184" s="1" t="s">
        <v>197</v>
      </c>
      <c r="D184" s="1">
        <v>75000</v>
      </c>
      <c r="E184" s="2">
        <v>43156</v>
      </c>
    </row>
    <row r="185" spans="1:5" x14ac:dyDescent="0.3">
      <c r="A185" s="1" t="s">
        <v>398</v>
      </c>
      <c r="B185" s="1" t="s">
        <v>12</v>
      </c>
      <c r="C185" s="1" t="s">
        <v>198</v>
      </c>
      <c r="D185" s="1">
        <v>61000</v>
      </c>
      <c r="E185" s="2">
        <v>44439</v>
      </c>
    </row>
    <row r="186" spans="1:5" x14ac:dyDescent="0.3">
      <c r="A186" s="1" t="s">
        <v>399</v>
      </c>
      <c r="B186" s="1" t="s">
        <v>14</v>
      </c>
      <c r="C186" s="1" t="s">
        <v>199</v>
      </c>
      <c r="D186" s="1">
        <v>69000</v>
      </c>
      <c r="E186" s="2">
        <v>42837</v>
      </c>
    </row>
    <row r="187" spans="1:5" x14ac:dyDescent="0.3">
      <c r="A187" s="1" t="s">
        <v>400</v>
      </c>
      <c r="B187" s="1" t="s">
        <v>16</v>
      </c>
      <c r="C187" s="1" t="s">
        <v>200</v>
      </c>
      <c r="D187" s="1">
        <v>72000</v>
      </c>
      <c r="E187" s="2">
        <v>44656</v>
      </c>
    </row>
    <row r="188" spans="1:5" x14ac:dyDescent="0.3">
      <c r="A188" s="1" t="s">
        <v>401</v>
      </c>
      <c r="B188" s="1" t="s">
        <v>18</v>
      </c>
      <c r="C188" s="1" t="s">
        <v>201</v>
      </c>
      <c r="D188" s="1">
        <v>50000</v>
      </c>
      <c r="E188" s="2">
        <v>43827</v>
      </c>
    </row>
    <row r="189" spans="1:5" x14ac:dyDescent="0.3">
      <c r="A189" s="1" t="s">
        <v>402</v>
      </c>
      <c r="B189" s="1" t="s">
        <v>20</v>
      </c>
      <c r="C189" s="1" t="s">
        <v>202</v>
      </c>
      <c r="D189" s="1">
        <v>66000</v>
      </c>
      <c r="E189" s="2">
        <v>44004</v>
      </c>
    </row>
    <row r="190" spans="1:5" x14ac:dyDescent="0.3">
      <c r="A190" s="1" t="s">
        <v>403</v>
      </c>
      <c r="B190" s="1" t="s">
        <v>22</v>
      </c>
      <c r="C190" s="1" t="s">
        <v>203</v>
      </c>
      <c r="D190" s="1">
        <v>58000</v>
      </c>
      <c r="E190" s="2">
        <v>42566</v>
      </c>
    </row>
    <row r="191" spans="1:5" x14ac:dyDescent="0.3">
      <c r="A191" s="1" t="s">
        <v>404</v>
      </c>
      <c r="B191" s="1" t="s">
        <v>24</v>
      </c>
      <c r="C191" s="1" t="s">
        <v>204</v>
      </c>
      <c r="D191" s="1">
        <v>45000</v>
      </c>
      <c r="E191" s="2">
        <v>42030</v>
      </c>
    </row>
    <row r="192" spans="1:5" x14ac:dyDescent="0.3">
      <c r="A192" s="1" t="s">
        <v>405</v>
      </c>
      <c r="B192" s="1" t="s">
        <v>6</v>
      </c>
      <c r="C192" s="1" t="s">
        <v>205</v>
      </c>
      <c r="D192" s="1">
        <v>80000</v>
      </c>
      <c r="E192" s="2">
        <v>43382</v>
      </c>
    </row>
    <row r="193" spans="1:5" x14ac:dyDescent="0.3">
      <c r="A193" s="1" t="s">
        <v>406</v>
      </c>
      <c r="B193" s="1" t="s">
        <v>8</v>
      </c>
      <c r="C193" s="1" t="s">
        <v>206</v>
      </c>
      <c r="D193" s="1">
        <v>54000</v>
      </c>
      <c r="E193" s="2">
        <v>42873</v>
      </c>
    </row>
    <row r="194" spans="1:5" x14ac:dyDescent="0.3">
      <c r="A194" s="1" t="s">
        <v>407</v>
      </c>
      <c r="B194" s="1" t="s">
        <v>10</v>
      </c>
      <c r="C194" s="1" t="s">
        <v>207</v>
      </c>
      <c r="D194" s="1">
        <v>47000</v>
      </c>
      <c r="E194" s="2">
        <v>44378</v>
      </c>
    </row>
    <row r="195" spans="1:5" x14ac:dyDescent="0.3">
      <c r="A195" s="1" t="s">
        <v>408</v>
      </c>
      <c r="B195" s="1" t="s">
        <v>12</v>
      </c>
      <c r="C195" s="1" t="s">
        <v>208</v>
      </c>
      <c r="D195" s="1">
        <v>90000</v>
      </c>
      <c r="E195" s="2">
        <v>42715</v>
      </c>
    </row>
    <row r="196" spans="1:5" x14ac:dyDescent="0.3">
      <c r="A196" s="1" t="s">
        <v>409</v>
      </c>
      <c r="B196" s="1" t="s">
        <v>14</v>
      </c>
      <c r="C196" s="1" t="s">
        <v>209</v>
      </c>
      <c r="D196" s="1">
        <v>62000</v>
      </c>
      <c r="E196" s="2">
        <v>43553</v>
      </c>
    </row>
    <row r="197" spans="1:5" x14ac:dyDescent="0.3">
      <c r="A197" s="1" t="s">
        <v>410</v>
      </c>
      <c r="B197" s="1" t="s">
        <v>16</v>
      </c>
      <c r="C197" s="1" t="s">
        <v>210</v>
      </c>
      <c r="D197" s="1">
        <v>73000</v>
      </c>
      <c r="E197" s="2">
        <v>43971</v>
      </c>
    </row>
    <row r="198" spans="1:5" x14ac:dyDescent="0.3">
      <c r="A198" s="1" t="s">
        <v>411</v>
      </c>
      <c r="B198" s="1" t="s">
        <v>18</v>
      </c>
      <c r="C198" s="1" t="s">
        <v>211</v>
      </c>
      <c r="D198" s="1">
        <v>56000</v>
      </c>
      <c r="E198" s="2">
        <v>42283</v>
      </c>
    </row>
    <row r="199" spans="1:5" x14ac:dyDescent="0.3">
      <c r="A199" s="1" t="s">
        <v>412</v>
      </c>
      <c r="B199" s="1" t="s">
        <v>20</v>
      </c>
      <c r="C199" s="1" t="s">
        <v>212</v>
      </c>
      <c r="D199" s="1">
        <v>67000</v>
      </c>
      <c r="E199" s="2">
        <v>43327</v>
      </c>
    </row>
    <row r="200" spans="1:5" x14ac:dyDescent="0.3">
      <c r="A200" s="1" t="s">
        <v>413</v>
      </c>
      <c r="B200" s="1" t="s">
        <v>22</v>
      </c>
      <c r="C200" s="1" t="s">
        <v>213</v>
      </c>
      <c r="D200" s="1">
        <v>71000</v>
      </c>
      <c r="E200" s="2">
        <v>44600</v>
      </c>
    </row>
    <row r="201" spans="1:5" x14ac:dyDescent="0.3">
      <c r="A201" s="1" t="s">
        <v>414</v>
      </c>
      <c r="B201" s="1" t="s">
        <v>24</v>
      </c>
      <c r="C201" s="1" t="s">
        <v>214</v>
      </c>
      <c r="D201" s="1">
        <v>64000</v>
      </c>
      <c r="E201" s="2">
        <v>42950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AE47-195C-4D16-9360-893F8A324D81}">
  <dimension ref="A1:K201"/>
  <sheetViews>
    <sheetView topLeftCell="A171" workbookViewId="0">
      <selection activeCell="B8" sqref="B8"/>
    </sheetView>
  </sheetViews>
  <sheetFormatPr defaultRowHeight="14.4" x14ac:dyDescent="0.3"/>
  <cols>
    <col min="2" max="2" width="17.6640625" bestFit="1" customWidth="1"/>
    <col min="3" max="3" width="12.109375" customWidth="1"/>
    <col min="5" max="5" width="10.33203125" bestFit="1" customWidth="1"/>
    <col min="9" max="9" width="13" customWidth="1"/>
    <col min="10" max="10" width="15" customWidth="1"/>
    <col min="11" max="11" width="11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8" t="s">
        <v>0</v>
      </c>
      <c r="I1" s="9" t="s">
        <v>1</v>
      </c>
      <c r="J1" s="9" t="s">
        <v>2</v>
      </c>
      <c r="K1" s="10" t="s">
        <v>3</v>
      </c>
    </row>
    <row r="2" spans="1:11" x14ac:dyDescent="0.3">
      <c r="A2" s="1" t="s">
        <v>5</v>
      </c>
      <c r="B2" s="1" t="s">
        <v>215</v>
      </c>
      <c r="C2" s="1" t="s">
        <v>6</v>
      </c>
      <c r="D2" s="1">
        <v>52000</v>
      </c>
      <c r="E2" s="2">
        <v>43536</v>
      </c>
      <c r="H2" s="6" t="s">
        <v>34</v>
      </c>
      <c r="I2" s="1" t="str">
        <f>VLOOKUP(Table1[[#This Row],[EmpID]],$A$1:$E$201,2,0)</f>
        <v>Alisha Menon</v>
      </c>
      <c r="J2" s="1" t="str">
        <f>VLOOKUP(Table1[[#This Row],[EmpID]],$A$1:$E$201,3,0)</f>
        <v>Admin</v>
      </c>
      <c r="K2" s="7">
        <f>VLOOKUP(Table1[[#This Row],[EmpID]],$A$1:$E$201,4,0)</f>
        <v>64000</v>
      </c>
    </row>
    <row r="3" spans="1:11" x14ac:dyDescent="0.3">
      <c r="A3" s="1" t="s">
        <v>7</v>
      </c>
      <c r="B3" s="1" t="s">
        <v>216</v>
      </c>
      <c r="C3" s="1" t="s">
        <v>8</v>
      </c>
      <c r="D3" s="1">
        <v>48000</v>
      </c>
      <c r="E3" s="2">
        <v>44013</v>
      </c>
      <c r="H3" s="6" t="s">
        <v>35</v>
      </c>
      <c r="I3" s="1" t="str">
        <f>VLOOKUP(Table1[[#This Row],[EmpID]],$A$1:$E$201,2,0)</f>
        <v>Varun Gupta</v>
      </c>
      <c r="J3" s="1" t="str">
        <f>VLOOKUP(Table1[[#This Row],[EmpID]],$A$1:$E$201,3,0)</f>
        <v>Sales</v>
      </c>
      <c r="K3" s="7">
        <f>VLOOKUP(Table1[[#This Row],[EmpID]],$A$1:$E$201,4,0)</f>
        <v>52000</v>
      </c>
    </row>
    <row r="4" spans="1:11" x14ac:dyDescent="0.3">
      <c r="A4" s="1" t="s">
        <v>9</v>
      </c>
      <c r="B4" s="1" t="s">
        <v>217</v>
      </c>
      <c r="C4" s="1" t="s">
        <v>10</v>
      </c>
      <c r="D4" s="1">
        <v>75000</v>
      </c>
      <c r="E4" s="2">
        <v>43424</v>
      </c>
      <c r="H4" s="6" t="s">
        <v>191</v>
      </c>
      <c r="I4" s="1" t="str">
        <f>VLOOKUP(Table1[[#This Row],[EmpID]],$A$1:$E$201,2,0)</f>
        <v>Rekha Bhat</v>
      </c>
      <c r="J4" s="1" t="str">
        <f>VLOOKUP(Table1[[#This Row],[EmpID]],$A$1:$E$201,3,0)</f>
        <v>Legal</v>
      </c>
      <c r="K4" s="7">
        <f>VLOOKUP(Table1[[#This Row],[EmpID]],$A$1:$E$201,4,0)</f>
        <v>56000</v>
      </c>
    </row>
    <row r="5" spans="1:11" x14ac:dyDescent="0.3">
      <c r="A5" s="1" t="s">
        <v>11</v>
      </c>
      <c r="B5" s="1" t="s">
        <v>218</v>
      </c>
      <c r="C5" s="1" t="s">
        <v>12</v>
      </c>
      <c r="D5" s="1">
        <v>61000</v>
      </c>
      <c r="E5" s="2">
        <v>44211</v>
      </c>
      <c r="H5" s="6" t="s">
        <v>37</v>
      </c>
      <c r="I5" s="1" t="str">
        <f>VLOOKUP(Table1[[#This Row],[EmpID]],$A$1:$E$201,2,0)</f>
        <v>Ankit Agarwal</v>
      </c>
      <c r="J5" s="1" t="str">
        <f>VLOOKUP(Table1[[#This Row],[EmpID]],$A$1:$E$201,3,0)</f>
        <v>IT</v>
      </c>
      <c r="K5" s="7">
        <f>VLOOKUP(Table1[[#This Row],[EmpID]],$A$1:$E$201,4,0)</f>
        <v>75000</v>
      </c>
    </row>
    <row r="6" spans="1:11" x14ac:dyDescent="0.3">
      <c r="A6" s="1" t="s">
        <v>13</v>
      </c>
      <c r="B6" s="1" t="s">
        <v>219</v>
      </c>
      <c r="C6" s="1" t="s">
        <v>14</v>
      </c>
      <c r="D6" s="1">
        <v>69000</v>
      </c>
      <c r="E6" s="2">
        <v>42916</v>
      </c>
      <c r="H6" s="6" t="s">
        <v>213</v>
      </c>
      <c r="I6" s="1" t="str">
        <f>VLOOKUP(Table1[[#This Row],[EmpID]],$A$1:$E$201,2,0)</f>
        <v>Arjun Singh</v>
      </c>
      <c r="J6" s="1" t="str">
        <f>VLOOKUP(Table1[[#This Row],[EmpID]],$A$1:$E$201,3,0)</f>
        <v>Support</v>
      </c>
      <c r="K6" s="7">
        <f>VLOOKUP(Table1[[#This Row],[EmpID]],$A$1:$E$201,4,0)</f>
        <v>71000</v>
      </c>
    </row>
    <row r="7" spans="1:11" x14ac:dyDescent="0.3">
      <c r="A7" s="1" t="s">
        <v>15</v>
      </c>
      <c r="B7" s="1" t="s">
        <v>220</v>
      </c>
      <c r="C7" s="1" t="s">
        <v>16</v>
      </c>
      <c r="D7" s="1">
        <v>72000</v>
      </c>
      <c r="E7" s="2">
        <v>44809</v>
      </c>
      <c r="H7" s="6" t="s">
        <v>39</v>
      </c>
      <c r="I7" s="1" t="str">
        <f>VLOOKUP(Table1[[#This Row],[EmpID]],$A$1:$E$201,2,0)</f>
        <v>Siddharth Jain</v>
      </c>
      <c r="J7" s="1" t="str">
        <f>VLOOKUP(Table1[[#This Row],[EmpID]],$A$1:$E$201,3,0)</f>
        <v>Marketing</v>
      </c>
      <c r="K7" s="7">
        <f>VLOOKUP(Table1[[#This Row],[EmpID]],$A$1:$E$201,4,0)</f>
        <v>69000</v>
      </c>
    </row>
    <row r="8" spans="1:11" x14ac:dyDescent="0.3">
      <c r="A8" s="1" t="s">
        <v>17</v>
      </c>
      <c r="B8" s="1" t="s">
        <v>221</v>
      </c>
      <c r="C8" s="1" t="s">
        <v>18</v>
      </c>
      <c r="D8" s="1">
        <v>50000</v>
      </c>
      <c r="E8" s="2">
        <v>43809</v>
      </c>
      <c r="H8" s="6" t="s">
        <v>140</v>
      </c>
      <c r="I8" s="1" t="str">
        <f>VLOOKUP(Table1[[#This Row],[EmpID]],$A$1:$E$201,2,0)</f>
        <v>Anjali Menon</v>
      </c>
      <c r="J8" s="1" t="str">
        <f>VLOOKUP(Table1[[#This Row],[EmpID]],$A$1:$E$201,3,0)</f>
        <v>Operations</v>
      </c>
      <c r="K8" s="7">
        <f>VLOOKUP(Table1[[#This Row],[EmpID]],$A$1:$E$201,4,0)</f>
        <v>72000</v>
      </c>
    </row>
    <row r="9" spans="1:11" x14ac:dyDescent="0.3">
      <c r="A9" s="1" t="s">
        <v>19</v>
      </c>
      <c r="B9" s="1" t="s">
        <v>222</v>
      </c>
      <c r="C9" s="1" t="s">
        <v>20</v>
      </c>
      <c r="D9" s="1">
        <v>66000</v>
      </c>
      <c r="E9" s="2">
        <v>43886</v>
      </c>
      <c r="H9" s="6" t="s">
        <v>41</v>
      </c>
      <c r="I9" s="1" t="str">
        <f>VLOOKUP(Table1[[#This Row],[EmpID]],$A$1:$E$201,2,0)</f>
        <v>Nikhil Kapoor</v>
      </c>
      <c r="J9" s="1" t="str">
        <f>VLOOKUP(Table1[[#This Row],[EmpID]],$A$1:$E$201,3,0)</f>
        <v>Legal</v>
      </c>
      <c r="K9" s="7">
        <f>VLOOKUP(Table1[[#This Row],[EmpID]],$A$1:$E$201,4,0)</f>
        <v>50000</v>
      </c>
    </row>
    <row r="10" spans="1:11" x14ac:dyDescent="0.3">
      <c r="A10" s="1" t="s">
        <v>21</v>
      </c>
      <c r="B10" s="1" t="s">
        <v>223</v>
      </c>
      <c r="C10" s="1" t="s">
        <v>22</v>
      </c>
      <c r="D10" s="1">
        <v>58000</v>
      </c>
      <c r="E10" s="2">
        <v>42600</v>
      </c>
      <c r="H10" s="6" t="s">
        <v>142</v>
      </c>
      <c r="I10" s="1" t="str">
        <f>VLOOKUP(Table1[[#This Row],[EmpID]],$A$1:$E$201,2,0)</f>
        <v>Meera Nambiar</v>
      </c>
      <c r="J10" s="1" t="str">
        <f>VLOOKUP(Table1[[#This Row],[EmpID]],$A$1:$E$201,3,0)</f>
        <v>R&amp;D</v>
      </c>
      <c r="K10" s="7">
        <f>VLOOKUP(Table1[[#This Row],[EmpID]],$A$1:$E$201,4,0)</f>
        <v>66000</v>
      </c>
    </row>
    <row r="11" spans="1:11" x14ac:dyDescent="0.3">
      <c r="A11" s="1" t="s">
        <v>23</v>
      </c>
      <c r="B11" s="1" t="s">
        <v>224</v>
      </c>
      <c r="C11" s="1" t="s">
        <v>24</v>
      </c>
      <c r="D11" s="1">
        <v>45000</v>
      </c>
      <c r="E11" s="2">
        <v>42146</v>
      </c>
      <c r="H11" s="6" t="s">
        <v>143</v>
      </c>
      <c r="I11" s="1" t="str">
        <f>VLOOKUP(Table1[[#This Row],[EmpID]],$A$1:$E$201,2,0)</f>
        <v>Pranav Kulkarni</v>
      </c>
      <c r="J11" s="1" t="str">
        <f>VLOOKUP(Table1[[#This Row],[EmpID]],$A$1:$E$201,3,0)</f>
        <v>Support</v>
      </c>
      <c r="K11" s="7">
        <f>VLOOKUP(Table1[[#This Row],[EmpID]],$A$1:$E$201,4,0)</f>
        <v>58000</v>
      </c>
    </row>
    <row r="12" spans="1:11" x14ac:dyDescent="0.3">
      <c r="A12" s="1" t="s">
        <v>25</v>
      </c>
      <c r="B12" s="1" t="s">
        <v>225</v>
      </c>
      <c r="C12" s="1" t="s">
        <v>6</v>
      </c>
      <c r="D12" s="1">
        <v>80000</v>
      </c>
      <c r="E12" s="2">
        <v>43193</v>
      </c>
      <c r="H12" s="11" t="s">
        <v>44</v>
      </c>
      <c r="I12" s="12" t="str">
        <f>VLOOKUP(Table1[[#This Row],[EmpID]],$A$1:$E$201,2,0)</f>
        <v>Anushka Roy</v>
      </c>
      <c r="J12" s="12" t="str">
        <f>VLOOKUP(Table1[[#This Row],[EmpID]],$A$1:$E$201,3,0)</f>
        <v>Admin</v>
      </c>
      <c r="K12" s="13">
        <f>VLOOKUP(Table1[[#This Row],[EmpID]],$A$1:$E$201,4,0)</f>
        <v>45000</v>
      </c>
    </row>
    <row r="13" spans="1:11" x14ac:dyDescent="0.3">
      <c r="A13" s="1" t="s">
        <v>26</v>
      </c>
      <c r="B13" s="1" t="s">
        <v>226</v>
      </c>
      <c r="C13" s="1" t="s">
        <v>8</v>
      </c>
      <c r="D13" s="1">
        <v>54000</v>
      </c>
      <c r="E13" s="2">
        <v>42992</v>
      </c>
      <c r="H13" s="11" t="s">
        <v>125</v>
      </c>
      <c r="I13" s="12" t="str">
        <f>VLOOKUP(Table1[[#This Row],[EmpID]],$A$1:$E$201,2,0)</f>
        <v>Neeraj Sharma</v>
      </c>
      <c r="J13" s="12" t="str">
        <f>VLOOKUP(Table1[[#This Row],[EmpID]],$A$1:$E$201,3,0)</f>
        <v>Sales</v>
      </c>
      <c r="K13" s="13">
        <f>VLOOKUP(Table1[[#This Row],[EmpID]],$A$1:$E$201,4,0)</f>
        <v>80000</v>
      </c>
    </row>
    <row r="14" spans="1:11" x14ac:dyDescent="0.3">
      <c r="A14" s="1" t="s">
        <v>27</v>
      </c>
      <c r="B14" s="1" t="s">
        <v>227</v>
      </c>
      <c r="C14" s="1" t="s">
        <v>10</v>
      </c>
      <c r="D14" s="1">
        <v>47000</v>
      </c>
      <c r="E14" s="2">
        <v>44502</v>
      </c>
      <c r="H14" s="11" t="s">
        <v>23</v>
      </c>
      <c r="I14" s="12" t="str">
        <f>VLOOKUP(Table1[[#This Row],[EmpID]],$A$1:$E$201,2,0)</f>
        <v>Priya Nair</v>
      </c>
      <c r="J14" s="12" t="str">
        <f>VLOOKUP(Table1[[#This Row],[EmpID]],$A$1:$E$201,3,0)</f>
        <v>Admin</v>
      </c>
      <c r="K14" s="13">
        <f>VLOOKUP(Table1[[#This Row],[EmpID]],$A$1:$E$201,4,0)</f>
        <v>45000</v>
      </c>
    </row>
    <row r="15" spans="1:11" x14ac:dyDescent="0.3">
      <c r="A15" s="1" t="s">
        <v>28</v>
      </c>
      <c r="B15" s="1" t="s">
        <v>228</v>
      </c>
      <c r="C15" s="1" t="s">
        <v>12</v>
      </c>
      <c r="D15" s="1">
        <v>90000</v>
      </c>
      <c r="E15" s="2">
        <v>42396</v>
      </c>
    </row>
    <row r="16" spans="1:11" x14ac:dyDescent="0.3">
      <c r="A16" s="1" t="s">
        <v>29</v>
      </c>
      <c r="B16" s="1" t="s">
        <v>229</v>
      </c>
      <c r="C16" s="1" t="s">
        <v>14</v>
      </c>
      <c r="D16" s="1">
        <v>62000</v>
      </c>
      <c r="E16" s="2">
        <v>43635</v>
      </c>
    </row>
    <row r="17" spans="1:5" x14ac:dyDescent="0.3">
      <c r="A17" s="1" t="s">
        <v>30</v>
      </c>
      <c r="B17" s="1" t="s">
        <v>230</v>
      </c>
      <c r="C17" s="1" t="s">
        <v>16</v>
      </c>
      <c r="D17" s="1">
        <v>73000</v>
      </c>
      <c r="E17" s="2">
        <v>44112</v>
      </c>
    </row>
    <row r="18" spans="1:5" x14ac:dyDescent="0.3">
      <c r="A18" s="1" t="s">
        <v>31</v>
      </c>
      <c r="B18" s="1" t="s">
        <v>231</v>
      </c>
      <c r="C18" s="1" t="s">
        <v>18</v>
      </c>
      <c r="D18" s="1">
        <v>56000</v>
      </c>
      <c r="E18" s="2">
        <v>42343</v>
      </c>
    </row>
    <row r="19" spans="1:5" x14ac:dyDescent="0.3">
      <c r="A19" s="1" t="s">
        <v>32</v>
      </c>
      <c r="B19" s="1" t="s">
        <v>232</v>
      </c>
      <c r="C19" s="1" t="s">
        <v>20</v>
      </c>
      <c r="D19" s="1">
        <v>67000</v>
      </c>
      <c r="E19" s="2">
        <v>43152</v>
      </c>
    </row>
    <row r="20" spans="1:5" x14ac:dyDescent="0.3">
      <c r="A20" s="1" t="s">
        <v>33</v>
      </c>
      <c r="B20" s="1" t="s">
        <v>233</v>
      </c>
      <c r="C20" s="1" t="s">
        <v>22</v>
      </c>
      <c r="D20" s="1">
        <v>71000</v>
      </c>
      <c r="E20" s="2">
        <v>44650</v>
      </c>
    </row>
    <row r="21" spans="1:5" x14ac:dyDescent="0.3">
      <c r="A21" s="1" t="s">
        <v>34</v>
      </c>
      <c r="B21" s="1" t="s">
        <v>234</v>
      </c>
      <c r="C21" s="1" t="s">
        <v>24</v>
      </c>
      <c r="D21" s="1">
        <v>64000</v>
      </c>
      <c r="E21" s="2">
        <v>42927</v>
      </c>
    </row>
    <row r="22" spans="1:5" x14ac:dyDescent="0.3">
      <c r="A22" s="1" t="s">
        <v>35</v>
      </c>
      <c r="B22" s="1" t="s">
        <v>235</v>
      </c>
      <c r="C22" s="1" t="s">
        <v>6</v>
      </c>
      <c r="D22" s="1">
        <v>52000</v>
      </c>
      <c r="E22" s="2">
        <v>43474</v>
      </c>
    </row>
    <row r="23" spans="1:5" x14ac:dyDescent="0.3">
      <c r="A23" s="1" t="s">
        <v>36</v>
      </c>
      <c r="B23" s="1" t="s">
        <v>236</v>
      </c>
      <c r="C23" s="1" t="s">
        <v>8</v>
      </c>
      <c r="D23" s="1">
        <v>48000</v>
      </c>
      <c r="E23" s="2">
        <v>43967</v>
      </c>
    </row>
    <row r="24" spans="1:5" x14ac:dyDescent="0.3">
      <c r="A24" s="1" t="s">
        <v>37</v>
      </c>
      <c r="B24" s="1" t="s">
        <v>237</v>
      </c>
      <c r="C24" s="1" t="s">
        <v>10</v>
      </c>
      <c r="D24" s="1">
        <v>75000</v>
      </c>
      <c r="E24" s="2">
        <v>43377</v>
      </c>
    </row>
    <row r="25" spans="1:5" x14ac:dyDescent="0.3">
      <c r="A25" s="1" t="s">
        <v>38</v>
      </c>
      <c r="B25" s="1" t="s">
        <v>238</v>
      </c>
      <c r="C25" s="1" t="s">
        <v>12</v>
      </c>
      <c r="D25" s="1">
        <v>61000</v>
      </c>
      <c r="E25" s="2">
        <v>44247</v>
      </c>
    </row>
    <row r="26" spans="1:5" x14ac:dyDescent="0.3">
      <c r="A26" s="1" t="s">
        <v>39</v>
      </c>
      <c r="B26" s="1" t="s">
        <v>239</v>
      </c>
      <c r="C26" s="1" t="s">
        <v>14</v>
      </c>
      <c r="D26" s="1">
        <v>69000</v>
      </c>
      <c r="E26" s="2">
        <v>42976</v>
      </c>
    </row>
    <row r="27" spans="1:5" x14ac:dyDescent="0.3">
      <c r="A27" s="1" t="s">
        <v>40</v>
      </c>
      <c r="B27" s="1" t="s">
        <v>240</v>
      </c>
      <c r="C27" s="1" t="s">
        <v>16</v>
      </c>
      <c r="D27" s="1">
        <v>72000</v>
      </c>
      <c r="E27" s="2">
        <v>44725</v>
      </c>
    </row>
    <row r="28" spans="1:5" x14ac:dyDescent="0.3">
      <c r="A28" s="1" t="s">
        <v>41</v>
      </c>
      <c r="B28" s="1" t="s">
        <v>241</v>
      </c>
      <c r="C28" s="1" t="s">
        <v>18</v>
      </c>
      <c r="D28" s="1">
        <v>50000</v>
      </c>
      <c r="E28" s="2">
        <v>43776</v>
      </c>
    </row>
    <row r="29" spans="1:5" x14ac:dyDescent="0.3">
      <c r="A29" s="1" t="s">
        <v>42</v>
      </c>
      <c r="B29" s="1" t="s">
        <v>242</v>
      </c>
      <c r="C29" s="1" t="s">
        <v>20</v>
      </c>
      <c r="D29" s="1">
        <v>66000</v>
      </c>
      <c r="E29" s="2">
        <v>43908</v>
      </c>
    </row>
    <row r="30" spans="1:5" x14ac:dyDescent="0.3">
      <c r="A30" s="1" t="s">
        <v>43</v>
      </c>
      <c r="B30" s="1" t="s">
        <v>243</v>
      </c>
      <c r="C30" s="1" t="s">
        <v>22</v>
      </c>
      <c r="D30" s="1">
        <v>58000</v>
      </c>
      <c r="E30" s="2">
        <v>42638</v>
      </c>
    </row>
    <row r="31" spans="1:5" x14ac:dyDescent="0.3">
      <c r="A31" s="1" t="s">
        <v>44</v>
      </c>
      <c r="B31" s="1" t="s">
        <v>244</v>
      </c>
      <c r="C31" s="1" t="s">
        <v>24</v>
      </c>
      <c r="D31" s="1">
        <v>45000</v>
      </c>
      <c r="E31" s="2">
        <v>42108</v>
      </c>
    </row>
    <row r="32" spans="1:5" x14ac:dyDescent="0.3">
      <c r="A32" s="1" t="s">
        <v>45</v>
      </c>
      <c r="B32" s="1" t="s">
        <v>245</v>
      </c>
      <c r="C32" s="1" t="s">
        <v>6</v>
      </c>
      <c r="D32" s="1">
        <v>80000</v>
      </c>
      <c r="E32" s="2">
        <v>43272</v>
      </c>
    </row>
    <row r="33" spans="1:5" x14ac:dyDescent="0.3">
      <c r="A33" s="1" t="s">
        <v>46</v>
      </c>
      <c r="B33" s="1" t="s">
        <v>246</v>
      </c>
      <c r="C33" s="1" t="s">
        <v>8</v>
      </c>
      <c r="D33" s="1">
        <v>54000</v>
      </c>
      <c r="E33" s="2">
        <v>43038</v>
      </c>
    </row>
    <row r="34" spans="1:5" x14ac:dyDescent="0.3">
      <c r="A34" s="1" t="s">
        <v>47</v>
      </c>
      <c r="B34" s="1" t="s">
        <v>247</v>
      </c>
      <c r="C34" s="1" t="s">
        <v>10</v>
      </c>
      <c r="D34" s="1">
        <v>47000</v>
      </c>
      <c r="E34" s="2">
        <v>44542</v>
      </c>
    </row>
    <row r="35" spans="1:5" x14ac:dyDescent="0.3">
      <c r="A35" s="1" t="s">
        <v>48</v>
      </c>
      <c r="B35" s="1" t="s">
        <v>248</v>
      </c>
      <c r="C35" s="1" t="s">
        <v>12</v>
      </c>
      <c r="D35" s="1">
        <v>90000</v>
      </c>
      <c r="E35" s="2">
        <v>42408</v>
      </c>
    </row>
    <row r="36" spans="1:5" x14ac:dyDescent="0.3">
      <c r="A36" s="1" t="s">
        <v>49</v>
      </c>
      <c r="B36" s="1" t="s">
        <v>249</v>
      </c>
      <c r="C36" s="1" t="s">
        <v>14</v>
      </c>
      <c r="D36" s="1">
        <v>62000</v>
      </c>
      <c r="E36" s="2">
        <v>43588</v>
      </c>
    </row>
    <row r="37" spans="1:5" x14ac:dyDescent="0.3">
      <c r="A37" s="1" t="s">
        <v>50</v>
      </c>
      <c r="B37" s="1" t="s">
        <v>250</v>
      </c>
      <c r="C37" s="1" t="s">
        <v>16</v>
      </c>
      <c r="D37" s="1">
        <v>73000</v>
      </c>
      <c r="E37" s="2">
        <v>44070</v>
      </c>
    </row>
    <row r="38" spans="1:5" x14ac:dyDescent="0.3">
      <c r="A38" s="1" t="s">
        <v>51</v>
      </c>
      <c r="B38" s="1" t="s">
        <v>251</v>
      </c>
      <c r="C38" s="1" t="s">
        <v>18</v>
      </c>
      <c r="D38" s="1">
        <v>56000</v>
      </c>
      <c r="E38" s="2">
        <v>42324</v>
      </c>
    </row>
    <row r="39" spans="1:5" x14ac:dyDescent="0.3">
      <c r="A39" s="1" t="s">
        <v>52</v>
      </c>
      <c r="B39" s="1" t="s">
        <v>252</v>
      </c>
      <c r="C39" s="1" t="s">
        <v>20</v>
      </c>
      <c r="D39" s="1">
        <v>67000</v>
      </c>
      <c r="E39" s="2">
        <v>43105</v>
      </c>
    </row>
    <row r="40" spans="1:5" x14ac:dyDescent="0.3">
      <c r="A40" s="1" t="s">
        <v>53</v>
      </c>
      <c r="B40" s="1" t="s">
        <v>253</v>
      </c>
      <c r="C40" s="1" t="s">
        <v>22</v>
      </c>
      <c r="D40" s="1">
        <v>71000</v>
      </c>
      <c r="E40" s="2">
        <v>44673</v>
      </c>
    </row>
    <row r="41" spans="1:5" x14ac:dyDescent="0.3">
      <c r="A41" s="1" t="s">
        <v>54</v>
      </c>
      <c r="B41" s="1" t="s">
        <v>254</v>
      </c>
      <c r="C41" s="1" t="s">
        <v>24</v>
      </c>
      <c r="D41" s="1">
        <v>64000</v>
      </c>
      <c r="E41" s="2">
        <v>42803</v>
      </c>
    </row>
    <row r="42" spans="1:5" x14ac:dyDescent="0.3">
      <c r="A42" s="1" t="s">
        <v>55</v>
      </c>
      <c r="B42" s="1" t="s">
        <v>255</v>
      </c>
      <c r="C42" s="1" t="s">
        <v>6</v>
      </c>
      <c r="D42" s="1">
        <v>52000</v>
      </c>
      <c r="E42" s="2">
        <v>43674</v>
      </c>
    </row>
    <row r="43" spans="1:5" x14ac:dyDescent="0.3">
      <c r="A43" s="1" t="s">
        <v>56</v>
      </c>
      <c r="B43" s="1" t="s">
        <v>256</v>
      </c>
      <c r="C43" s="1" t="s">
        <v>8</v>
      </c>
      <c r="D43" s="1">
        <v>48000</v>
      </c>
      <c r="E43" s="2">
        <v>44141</v>
      </c>
    </row>
    <row r="44" spans="1:5" x14ac:dyDescent="0.3">
      <c r="A44" s="1" t="s">
        <v>57</v>
      </c>
      <c r="B44" s="1" t="s">
        <v>257</v>
      </c>
      <c r="C44" s="1" t="s">
        <v>10</v>
      </c>
      <c r="D44" s="1">
        <v>75000</v>
      </c>
      <c r="E44" s="2">
        <v>43237</v>
      </c>
    </row>
    <row r="45" spans="1:5" x14ac:dyDescent="0.3">
      <c r="A45" s="1" t="s">
        <v>58</v>
      </c>
      <c r="B45" s="1" t="s">
        <v>258</v>
      </c>
      <c r="C45" s="1" t="s">
        <v>12</v>
      </c>
      <c r="D45" s="1">
        <v>61000</v>
      </c>
      <c r="E45" s="2">
        <v>44440</v>
      </c>
    </row>
    <row r="46" spans="1:5" x14ac:dyDescent="0.3">
      <c r="A46" s="1" t="s">
        <v>59</v>
      </c>
      <c r="B46" s="1" t="s">
        <v>259</v>
      </c>
      <c r="C46" s="1" t="s">
        <v>14</v>
      </c>
      <c r="D46" s="1">
        <v>69000</v>
      </c>
      <c r="E46" s="2">
        <v>42779</v>
      </c>
    </row>
    <row r="47" spans="1:5" x14ac:dyDescent="0.3">
      <c r="A47" s="1" t="s">
        <v>60</v>
      </c>
      <c r="B47" s="1" t="s">
        <v>260</v>
      </c>
      <c r="C47" s="1" t="s">
        <v>16</v>
      </c>
      <c r="D47" s="1">
        <v>72000</v>
      </c>
      <c r="E47" s="2">
        <v>44914</v>
      </c>
    </row>
    <row r="48" spans="1:5" x14ac:dyDescent="0.3">
      <c r="A48" s="1" t="s">
        <v>61</v>
      </c>
      <c r="B48" s="1" t="s">
        <v>261</v>
      </c>
      <c r="C48" s="1" t="s">
        <v>18</v>
      </c>
      <c r="D48" s="1">
        <v>50000</v>
      </c>
      <c r="E48" s="2">
        <v>43701</v>
      </c>
    </row>
    <row r="49" spans="1:5" x14ac:dyDescent="0.3">
      <c r="A49" s="1" t="s">
        <v>62</v>
      </c>
      <c r="B49" s="1" t="s">
        <v>262</v>
      </c>
      <c r="C49" s="1" t="s">
        <v>20</v>
      </c>
      <c r="D49" s="1">
        <v>66000</v>
      </c>
      <c r="E49" s="2">
        <v>43837</v>
      </c>
    </row>
    <row r="50" spans="1:5" x14ac:dyDescent="0.3">
      <c r="A50" s="1" t="s">
        <v>63</v>
      </c>
      <c r="B50" s="1" t="s">
        <v>263</v>
      </c>
      <c r="C50" s="1" t="s">
        <v>22</v>
      </c>
      <c r="D50" s="1">
        <v>58000</v>
      </c>
      <c r="E50" s="2">
        <v>42523</v>
      </c>
    </row>
    <row r="51" spans="1:5" x14ac:dyDescent="0.3">
      <c r="A51" s="1" t="s">
        <v>64</v>
      </c>
      <c r="B51" s="1" t="s">
        <v>264</v>
      </c>
      <c r="C51" s="1" t="s">
        <v>24</v>
      </c>
      <c r="D51" s="1">
        <v>45000</v>
      </c>
      <c r="E51" s="2">
        <v>42308</v>
      </c>
    </row>
    <row r="52" spans="1:5" x14ac:dyDescent="0.3">
      <c r="A52" s="1" t="s">
        <v>65</v>
      </c>
      <c r="B52" s="1" t="s">
        <v>265</v>
      </c>
      <c r="C52" s="1" t="s">
        <v>6</v>
      </c>
      <c r="D52" s="1">
        <v>80000</v>
      </c>
      <c r="E52" s="2">
        <v>43354</v>
      </c>
    </row>
    <row r="53" spans="1:5" x14ac:dyDescent="0.3">
      <c r="A53" s="1" t="s">
        <v>66</v>
      </c>
      <c r="B53" s="1" t="s">
        <v>266</v>
      </c>
      <c r="C53" s="1" t="s">
        <v>8</v>
      </c>
      <c r="D53" s="1">
        <v>54000</v>
      </c>
      <c r="E53" s="2">
        <v>42757</v>
      </c>
    </row>
    <row r="54" spans="1:5" x14ac:dyDescent="0.3">
      <c r="A54" s="1" t="s">
        <v>67</v>
      </c>
      <c r="B54" s="1" t="s">
        <v>267</v>
      </c>
      <c r="C54" s="1" t="s">
        <v>10</v>
      </c>
      <c r="D54" s="1">
        <v>47000</v>
      </c>
      <c r="E54" s="2">
        <v>44269</v>
      </c>
    </row>
    <row r="55" spans="1:5" x14ac:dyDescent="0.3">
      <c r="A55" s="1" t="s">
        <v>68</v>
      </c>
      <c r="B55" s="1" t="s">
        <v>268</v>
      </c>
      <c r="C55" s="1" t="s">
        <v>12</v>
      </c>
      <c r="D55" s="1">
        <v>90000</v>
      </c>
      <c r="E55" s="2">
        <v>42556</v>
      </c>
    </row>
    <row r="56" spans="1:5" x14ac:dyDescent="0.3">
      <c r="A56" s="1" t="s">
        <v>69</v>
      </c>
      <c r="B56" s="1" t="s">
        <v>269</v>
      </c>
      <c r="C56" s="1" t="s">
        <v>14</v>
      </c>
      <c r="D56" s="1">
        <v>62000</v>
      </c>
      <c r="E56" s="2">
        <v>43764</v>
      </c>
    </row>
    <row r="57" spans="1:5" x14ac:dyDescent="0.3">
      <c r="A57" s="1" t="s">
        <v>70</v>
      </c>
      <c r="B57" s="1" t="s">
        <v>270</v>
      </c>
      <c r="C57" s="1" t="s">
        <v>16</v>
      </c>
      <c r="D57" s="1">
        <v>73000</v>
      </c>
      <c r="E57" s="2">
        <v>43863</v>
      </c>
    </row>
    <row r="58" spans="1:5" x14ac:dyDescent="0.3">
      <c r="A58" s="1" t="s">
        <v>71</v>
      </c>
      <c r="B58" s="1" t="s">
        <v>271</v>
      </c>
      <c r="C58" s="1" t="s">
        <v>18</v>
      </c>
      <c r="D58" s="1">
        <v>56000</v>
      </c>
      <c r="E58" s="2">
        <v>42173</v>
      </c>
    </row>
    <row r="59" spans="1:5" x14ac:dyDescent="0.3">
      <c r="A59" s="1" t="s">
        <v>72</v>
      </c>
      <c r="B59" s="1" t="s">
        <v>272</v>
      </c>
      <c r="C59" s="1" t="s">
        <v>20</v>
      </c>
      <c r="D59" s="1">
        <v>67000</v>
      </c>
      <c r="E59" s="2">
        <v>43443</v>
      </c>
    </row>
    <row r="60" spans="1:5" x14ac:dyDescent="0.3">
      <c r="A60" s="1" t="s">
        <v>73</v>
      </c>
      <c r="B60" s="1" t="s">
        <v>273</v>
      </c>
      <c r="C60" s="1" t="s">
        <v>22</v>
      </c>
      <c r="D60" s="1">
        <v>71000</v>
      </c>
      <c r="E60" s="2">
        <v>44581</v>
      </c>
    </row>
    <row r="61" spans="1:5" x14ac:dyDescent="0.3">
      <c r="A61" s="1" t="s">
        <v>74</v>
      </c>
      <c r="B61" s="1" t="s">
        <v>274</v>
      </c>
      <c r="C61" s="1" t="s">
        <v>24</v>
      </c>
      <c r="D61" s="1">
        <v>64000</v>
      </c>
      <c r="E61" s="2">
        <v>43068</v>
      </c>
    </row>
    <row r="62" spans="1:5" x14ac:dyDescent="0.3">
      <c r="A62" s="1" t="s">
        <v>75</v>
      </c>
      <c r="B62" s="1" t="s">
        <v>275</v>
      </c>
      <c r="C62" s="1" t="s">
        <v>6</v>
      </c>
      <c r="D62" s="1">
        <v>52000</v>
      </c>
      <c r="E62" s="2">
        <v>43502</v>
      </c>
    </row>
    <row r="63" spans="1:5" x14ac:dyDescent="0.3">
      <c r="A63" s="1" t="s">
        <v>76</v>
      </c>
      <c r="B63" s="1" t="s">
        <v>276</v>
      </c>
      <c r="C63" s="1" t="s">
        <v>8</v>
      </c>
      <c r="D63" s="1">
        <v>48000</v>
      </c>
      <c r="E63" s="2">
        <v>43997</v>
      </c>
    </row>
    <row r="64" spans="1:5" x14ac:dyDescent="0.3">
      <c r="A64" s="1" t="s">
        <v>77</v>
      </c>
      <c r="B64" s="1" t="s">
        <v>277</v>
      </c>
      <c r="C64" s="1" t="s">
        <v>10</v>
      </c>
      <c r="D64" s="1">
        <v>75000</v>
      </c>
      <c r="E64" s="2">
        <v>43335</v>
      </c>
    </row>
    <row r="65" spans="1:5" x14ac:dyDescent="0.3">
      <c r="A65" s="1" t="s">
        <v>78</v>
      </c>
      <c r="B65" s="1" t="s">
        <v>278</v>
      </c>
      <c r="C65" s="1" t="s">
        <v>12</v>
      </c>
      <c r="D65" s="1">
        <v>61000</v>
      </c>
      <c r="E65" s="2">
        <v>44296</v>
      </c>
    </row>
    <row r="66" spans="1:5" x14ac:dyDescent="0.3">
      <c r="A66" s="1" t="s">
        <v>79</v>
      </c>
      <c r="B66" s="1" t="s">
        <v>279</v>
      </c>
      <c r="C66" s="1" t="s">
        <v>14</v>
      </c>
      <c r="D66" s="1">
        <v>69000</v>
      </c>
      <c r="E66" s="2">
        <v>43070</v>
      </c>
    </row>
    <row r="67" spans="1:5" x14ac:dyDescent="0.3">
      <c r="A67" s="1" t="s">
        <v>80</v>
      </c>
      <c r="B67" s="1" t="s">
        <v>280</v>
      </c>
      <c r="C67" s="1" t="s">
        <v>16</v>
      </c>
      <c r="D67" s="1">
        <v>72000</v>
      </c>
      <c r="E67" s="2">
        <v>44688</v>
      </c>
    </row>
    <row r="68" spans="1:5" x14ac:dyDescent="0.3">
      <c r="A68" s="1" t="s">
        <v>81</v>
      </c>
      <c r="B68" s="1" t="s">
        <v>281</v>
      </c>
      <c r="C68" s="1" t="s">
        <v>18</v>
      </c>
      <c r="D68" s="1">
        <v>50000</v>
      </c>
      <c r="E68" s="2">
        <v>43751</v>
      </c>
    </row>
    <row r="69" spans="1:5" x14ac:dyDescent="0.3">
      <c r="A69" s="1" t="s">
        <v>82</v>
      </c>
      <c r="B69" s="1" t="s">
        <v>282</v>
      </c>
      <c r="C69" s="1" t="s">
        <v>20</v>
      </c>
      <c r="D69" s="1">
        <v>66000</v>
      </c>
      <c r="E69" s="2">
        <v>44076</v>
      </c>
    </row>
    <row r="70" spans="1:5" x14ac:dyDescent="0.3">
      <c r="A70" s="1" t="s">
        <v>83</v>
      </c>
      <c r="B70" s="1" t="s">
        <v>283</v>
      </c>
      <c r="C70" s="1" t="s">
        <v>22</v>
      </c>
      <c r="D70" s="1">
        <v>58000</v>
      </c>
      <c r="E70" s="2">
        <v>42450</v>
      </c>
    </row>
    <row r="71" spans="1:5" x14ac:dyDescent="0.3">
      <c r="A71" s="1" t="s">
        <v>84</v>
      </c>
      <c r="B71" s="1" t="s">
        <v>284</v>
      </c>
      <c r="C71" s="1" t="s">
        <v>24</v>
      </c>
      <c r="D71" s="1">
        <v>45000</v>
      </c>
      <c r="E71" s="2">
        <v>42232</v>
      </c>
    </row>
    <row r="72" spans="1:5" x14ac:dyDescent="0.3">
      <c r="A72" s="1" t="s">
        <v>85</v>
      </c>
      <c r="B72" s="1" t="s">
        <v>285</v>
      </c>
      <c r="C72" s="1" t="s">
        <v>6</v>
      </c>
      <c r="D72" s="1">
        <v>80000</v>
      </c>
      <c r="E72" s="2">
        <v>43159</v>
      </c>
    </row>
    <row r="73" spans="1:5" x14ac:dyDescent="0.3">
      <c r="A73" s="1" t="s">
        <v>86</v>
      </c>
      <c r="B73" s="1" t="s">
        <v>286</v>
      </c>
      <c r="C73" s="1" t="s">
        <v>8</v>
      </c>
      <c r="D73" s="1">
        <v>54000</v>
      </c>
      <c r="E73" s="2">
        <v>42834</v>
      </c>
    </row>
    <row r="74" spans="1:5" x14ac:dyDescent="0.3">
      <c r="A74" s="1" t="s">
        <v>87</v>
      </c>
      <c r="B74" s="1" t="s">
        <v>287</v>
      </c>
      <c r="C74" s="1" t="s">
        <v>10</v>
      </c>
      <c r="D74" s="1">
        <v>47000</v>
      </c>
      <c r="E74" s="2">
        <v>44365</v>
      </c>
    </row>
    <row r="75" spans="1:5" x14ac:dyDescent="0.3">
      <c r="A75" s="1" t="s">
        <v>88</v>
      </c>
      <c r="B75" s="1" t="s">
        <v>288</v>
      </c>
      <c r="C75" s="1" t="s">
        <v>12</v>
      </c>
      <c r="D75" s="1">
        <v>90000</v>
      </c>
      <c r="E75" s="2">
        <v>42670</v>
      </c>
    </row>
    <row r="76" spans="1:5" x14ac:dyDescent="0.3">
      <c r="A76" s="1" t="s">
        <v>89</v>
      </c>
      <c r="B76" s="1" t="s">
        <v>289</v>
      </c>
      <c r="C76" s="1" t="s">
        <v>14</v>
      </c>
      <c r="D76" s="1">
        <v>62000</v>
      </c>
      <c r="E76" s="2">
        <v>43777</v>
      </c>
    </row>
    <row r="77" spans="1:5" x14ac:dyDescent="0.3">
      <c r="A77" s="1" t="s">
        <v>90</v>
      </c>
      <c r="B77" s="1" t="s">
        <v>290</v>
      </c>
      <c r="C77" s="1" t="s">
        <v>16</v>
      </c>
      <c r="D77" s="1">
        <v>73000</v>
      </c>
      <c r="E77" s="2">
        <v>43860</v>
      </c>
    </row>
    <row r="78" spans="1:5" x14ac:dyDescent="0.3">
      <c r="A78" s="1" t="s">
        <v>91</v>
      </c>
      <c r="B78" s="1" t="s">
        <v>291</v>
      </c>
      <c r="C78" s="1" t="s">
        <v>18</v>
      </c>
      <c r="D78" s="1">
        <v>56000</v>
      </c>
      <c r="E78" s="2">
        <v>42066</v>
      </c>
    </row>
    <row r="79" spans="1:5" x14ac:dyDescent="0.3">
      <c r="A79" s="1" t="s">
        <v>92</v>
      </c>
      <c r="B79" s="1" t="s">
        <v>292</v>
      </c>
      <c r="C79" s="1" t="s">
        <v>20</v>
      </c>
      <c r="D79" s="1">
        <v>67000</v>
      </c>
      <c r="E79" s="2">
        <v>43293</v>
      </c>
    </row>
    <row r="80" spans="1:5" x14ac:dyDescent="0.3">
      <c r="A80" s="1" t="s">
        <v>93</v>
      </c>
      <c r="B80" s="1" t="s">
        <v>293</v>
      </c>
      <c r="C80" s="1" t="s">
        <v>22</v>
      </c>
      <c r="D80" s="1">
        <v>71000</v>
      </c>
      <c r="E80" s="2">
        <v>44798</v>
      </c>
    </row>
    <row r="81" spans="1:5" x14ac:dyDescent="0.3">
      <c r="A81" s="1" t="s">
        <v>94</v>
      </c>
      <c r="B81" s="1" t="s">
        <v>294</v>
      </c>
      <c r="C81" s="1" t="s">
        <v>24</v>
      </c>
      <c r="D81" s="1">
        <v>64000</v>
      </c>
      <c r="E81" s="2">
        <v>42992</v>
      </c>
    </row>
    <row r="82" spans="1:5" x14ac:dyDescent="0.3">
      <c r="A82" s="1" t="s">
        <v>95</v>
      </c>
      <c r="B82" s="1" t="s">
        <v>295</v>
      </c>
      <c r="C82" s="1" t="s">
        <v>6</v>
      </c>
      <c r="D82" s="1">
        <v>52000</v>
      </c>
      <c r="E82" s="2">
        <v>43590</v>
      </c>
    </row>
    <row r="83" spans="1:5" x14ac:dyDescent="0.3">
      <c r="A83" s="1" t="s">
        <v>96</v>
      </c>
      <c r="B83" s="1" t="s">
        <v>296</v>
      </c>
      <c r="C83" s="1" t="s">
        <v>8</v>
      </c>
      <c r="D83" s="1">
        <v>48000</v>
      </c>
      <c r="E83" s="2">
        <v>43913</v>
      </c>
    </row>
    <row r="84" spans="1:5" x14ac:dyDescent="0.3">
      <c r="A84" s="1" t="s">
        <v>97</v>
      </c>
      <c r="B84" s="1" t="s">
        <v>297</v>
      </c>
      <c r="C84" s="1" t="s">
        <v>10</v>
      </c>
      <c r="D84" s="1">
        <v>75000</v>
      </c>
      <c r="E84" s="2">
        <v>43130</v>
      </c>
    </row>
    <row r="85" spans="1:5" x14ac:dyDescent="0.3">
      <c r="A85" s="1" t="s">
        <v>98</v>
      </c>
      <c r="B85" s="1" t="s">
        <v>298</v>
      </c>
      <c r="C85" s="1" t="s">
        <v>12</v>
      </c>
      <c r="D85" s="1">
        <v>61000</v>
      </c>
      <c r="E85" s="2">
        <v>44396</v>
      </c>
    </row>
    <row r="86" spans="1:5" x14ac:dyDescent="0.3">
      <c r="A86" s="1" t="s">
        <v>99</v>
      </c>
      <c r="B86" s="1" t="s">
        <v>299</v>
      </c>
      <c r="C86" s="1" t="s">
        <v>14</v>
      </c>
      <c r="D86" s="1">
        <v>69000</v>
      </c>
      <c r="E86" s="2">
        <v>42741</v>
      </c>
    </row>
    <row r="87" spans="1:5" x14ac:dyDescent="0.3">
      <c r="A87" s="1" t="s">
        <v>100</v>
      </c>
      <c r="B87" s="1" t="s">
        <v>300</v>
      </c>
      <c r="C87" s="1" t="s">
        <v>16</v>
      </c>
      <c r="D87" s="1">
        <v>72000</v>
      </c>
      <c r="E87" s="2">
        <v>44845</v>
      </c>
    </row>
    <row r="88" spans="1:5" x14ac:dyDescent="0.3">
      <c r="A88" s="1" t="s">
        <v>101</v>
      </c>
      <c r="B88" s="1" t="s">
        <v>301</v>
      </c>
      <c r="C88" s="1" t="s">
        <v>18</v>
      </c>
      <c r="D88" s="1">
        <v>50000</v>
      </c>
      <c r="E88" s="2">
        <v>43579</v>
      </c>
    </row>
    <row r="89" spans="1:5" x14ac:dyDescent="0.3">
      <c r="A89" s="1" t="s">
        <v>102</v>
      </c>
      <c r="B89" s="1" t="s">
        <v>302</v>
      </c>
      <c r="C89" s="1" t="s">
        <v>20</v>
      </c>
      <c r="D89" s="1">
        <v>66000</v>
      </c>
      <c r="E89" s="2">
        <v>44168</v>
      </c>
    </row>
    <row r="90" spans="1:5" x14ac:dyDescent="0.3">
      <c r="A90" s="1" t="s">
        <v>103</v>
      </c>
      <c r="B90" s="1" t="s">
        <v>303</v>
      </c>
      <c r="C90" s="1" t="s">
        <v>22</v>
      </c>
      <c r="D90" s="1">
        <v>58000</v>
      </c>
      <c r="E90" s="2">
        <v>42687</v>
      </c>
    </row>
    <row r="91" spans="1:5" x14ac:dyDescent="0.3">
      <c r="A91" s="1" t="s">
        <v>104</v>
      </c>
      <c r="B91" s="1" t="s">
        <v>304</v>
      </c>
      <c r="C91" s="1" t="s">
        <v>24</v>
      </c>
      <c r="D91" s="1">
        <v>45000</v>
      </c>
      <c r="E91" s="2">
        <v>42036</v>
      </c>
    </row>
    <row r="92" spans="1:5" x14ac:dyDescent="0.3">
      <c r="A92" s="1" t="s">
        <v>105</v>
      </c>
      <c r="B92" s="1" t="s">
        <v>305</v>
      </c>
      <c r="C92" s="1" t="s">
        <v>6</v>
      </c>
      <c r="D92" s="1">
        <v>80000</v>
      </c>
      <c r="E92" s="2">
        <v>43175</v>
      </c>
    </row>
    <row r="93" spans="1:5" x14ac:dyDescent="0.3">
      <c r="A93" s="1" t="s">
        <v>106</v>
      </c>
      <c r="B93" s="1" t="s">
        <v>306</v>
      </c>
      <c r="C93" s="1" t="s">
        <v>8</v>
      </c>
      <c r="D93" s="1">
        <v>54000</v>
      </c>
      <c r="E93" s="2">
        <v>42952</v>
      </c>
    </row>
    <row r="94" spans="1:5" x14ac:dyDescent="0.3">
      <c r="A94" s="1" t="s">
        <v>107</v>
      </c>
      <c r="B94" s="1" t="s">
        <v>307</v>
      </c>
      <c r="C94" s="1" t="s">
        <v>10</v>
      </c>
      <c r="D94" s="1">
        <v>47000</v>
      </c>
      <c r="E94" s="2">
        <v>44467</v>
      </c>
    </row>
    <row r="95" spans="1:5" x14ac:dyDescent="0.3">
      <c r="A95" s="1" t="s">
        <v>108</v>
      </c>
      <c r="B95" s="1" t="s">
        <v>308</v>
      </c>
      <c r="C95" s="1" t="s">
        <v>12</v>
      </c>
      <c r="D95" s="1">
        <v>90000</v>
      </c>
      <c r="E95" s="2">
        <v>42502</v>
      </c>
    </row>
    <row r="96" spans="1:5" x14ac:dyDescent="0.3">
      <c r="A96" s="1" t="s">
        <v>109</v>
      </c>
      <c r="B96" s="1" t="s">
        <v>309</v>
      </c>
      <c r="C96" s="1" t="s">
        <v>14</v>
      </c>
      <c r="D96" s="1">
        <v>62000</v>
      </c>
      <c r="E96" s="2">
        <v>43820</v>
      </c>
    </row>
    <row r="97" spans="1:5" x14ac:dyDescent="0.3">
      <c r="A97" s="1" t="s">
        <v>110</v>
      </c>
      <c r="B97" s="1" t="s">
        <v>310</v>
      </c>
      <c r="C97" s="1" t="s">
        <v>16</v>
      </c>
      <c r="D97" s="1">
        <v>73000</v>
      </c>
      <c r="E97" s="2">
        <v>43927</v>
      </c>
    </row>
    <row r="98" spans="1:5" x14ac:dyDescent="0.3">
      <c r="A98" s="1" t="s">
        <v>111</v>
      </c>
      <c r="B98" s="1" t="s">
        <v>311</v>
      </c>
      <c r="C98" s="1" t="s">
        <v>18</v>
      </c>
      <c r="D98" s="1">
        <v>56000</v>
      </c>
      <c r="E98" s="2">
        <v>42210</v>
      </c>
    </row>
    <row r="99" spans="1:5" x14ac:dyDescent="0.3">
      <c r="A99" s="1" t="s">
        <v>112</v>
      </c>
      <c r="B99" s="1" t="s">
        <v>312</v>
      </c>
      <c r="C99" s="1" t="s">
        <v>20</v>
      </c>
      <c r="D99" s="1">
        <v>67000</v>
      </c>
      <c r="E99" s="2">
        <v>43373</v>
      </c>
    </row>
    <row r="100" spans="1:5" x14ac:dyDescent="0.3">
      <c r="A100" s="1" t="s">
        <v>113</v>
      </c>
      <c r="B100" s="1" t="s">
        <v>313</v>
      </c>
      <c r="C100" s="1" t="s">
        <v>22</v>
      </c>
      <c r="D100" s="1">
        <v>71000</v>
      </c>
      <c r="E100" s="2">
        <v>44606</v>
      </c>
    </row>
    <row r="101" spans="1:5" x14ac:dyDescent="0.3">
      <c r="A101" s="1" t="s">
        <v>114</v>
      </c>
      <c r="B101" s="1" t="s">
        <v>314</v>
      </c>
      <c r="C101" s="1" t="s">
        <v>24</v>
      </c>
      <c r="D101" s="1">
        <v>64000</v>
      </c>
      <c r="E101" s="2">
        <v>42887</v>
      </c>
    </row>
    <row r="102" spans="1:5" x14ac:dyDescent="0.3">
      <c r="A102" s="1" t="s">
        <v>115</v>
      </c>
      <c r="B102" s="1" t="s">
        <v>315</v>
      </c>
      <c r="C102" s="1" t="s">
        <v>6</v>
      </c>
      <c r="D102" s="1">
        <v>52000</v>
      </c>
      <c r="E102" s="2">
        <v>43717</v>
      </c>
    </row>
    <row r="103" spans="1:5" x14ac:dyDescent="0.3">
      <c r="A103" s="1" t="s">
        <v>116</v>
      </c>
      <c r="B103" s="1" t="s">
        <v>316</v>
      </c>
      <c r="C103" s="1" t="s">
        <v>8</v>
      </c>
      <c r="D103" s="1">
        <v>48000</v>
      </c>
      <c r="E103" s="2">
        <v>43848</v>
      </c>
    </row>
    <row r="104" spans="1:5" x14ac:dyDescent="0.3">
      <c r="A104" s="1" t="s">
        <v>117</v>
      </c>
      <c r="B104" s="1" t="s">
        <v>317</v>
      </c>
      <c r="C104" s="1" t="s">
        <v>10</v>
      </c>
      <c r="D104" s="1">
        <v>75000</v>
      </c>
      <c r="E104" s="2">
        <v>43258</v>
      </c>
    </row>
    <row r="105" spans="1:5" x14ac:dyDescent="0.3">
      <c r="A105" s="1" t="s">
        <v>118</v>
      </c>
      <c r="B105" s="1" t="s">
        <v>318</v>
      </c>
      <c r="C105" s="1" t="s">
        <v>12</v>
      </c>
      <c r="D105" s="1">
        <v>61000</v>
      </c>
      <c r="E105" s="2">
        <v>44280</v>
      </c>
    </row>
    <row r="106" spans="1:5" x14ac:dyDescent="0.3">
      <c r="A106" s="1" t="s">
        <v>119</v>
      </c>
      <c r="B106" s="1" t="s">
        <v>319</v>
      </c>
      <c r="C106" s="1" t="s">
        <v>14</v>
      </c>
      <c r="D106" s="1">
        <v>69000</v>
      </c>
      <c r="E106" s="2">
        <v>43010</v>
      </c>
    </row>
    <row r="107" spans="1:5" x14ac:dyDescent="0.3">
      <c r="A107" s="1" t="s">
        <v>120</v>
      </c>
      <c r="B107" s="1" t="s">
        <v>320</v>
      </c>
      <c r="C107" s="1" t="s">
        <v>16</v>
      </c>
      <c r="D107" s="1">
        <v>72000</v>
      </c>
      <c r="E107" s="2">
        <v>44758</v>
      </c>
    </row>
    <row r="108" spans="1:5" x14ac:dyDescent="0.3">
      <c r="A108" s="1" t="s">
        <v>121</v>
      </c>
      <c r="B108" s="1" t="s">
        <v>321</v>
      </c>
      <c r="C108" s="1" t="s">
        <v>18</v>
      </c>
      <c r="D108" s="1">
        <v>50000</v>
      </c>
      <c r="E108" s="2">
        <v>43523</v>
      </c>
    </row>
    <row r="109" spans="1:5" x14ac:dyDescent="0.3">
      <c r="A109" s="1" t="s">
        <v>122</v>
      </c>
      <c r="B109" s="1" t="s">
        <v>322</v>
      </c>
      <c r="C109" s="1" t="s">
        <v>20</v>
      </c>
      <c r="D109" s="1">
        <v>66000</v>
      </c>
      <c r="E109" s="2">
        <v>43955</v>
      </c>
    </row>
    <row r="110" spans="1:5" x14ac:dyDescent="0.3">
      <c r="A110" s="1" t="s">
        <v>123</v>
      </c>
      <c r="B110" s="1" t="s">
        <v>323</v>
      </c>
      <c r="C110" s="1" t="s">
        <v>22</v>
      </c>
      <c r="D110" s="1">
        <v>58000</v>
      </c>
      <c r="E110" s="2">
        <v>42380</v>
      </c>
    </row>
    <row r="111" spans="1:5" x14ac:dyDescent="0.3">
      <c r="A111" s="1" t="s">
        <v>124</v>
      </c>
      <c r="B111" s="1" t="s">
        <v>324</v>
      </c>
      <c r="C111" s="1" t="s">
        <v>24</v>
      </c>
      <c r="D111" s="1">
        <v>45000</v>
      </c>
      <c r="E111" s="2">
        <v>42328</v>
      </c>
    </row>
    <row r="112" spans="1:5" x14ac:dyDescent="0.3">
      <c r="A112" s="1" t="s">
        <v>125</v>
      </c>
      <c r="B112" s="1" t="s">
        <v>325</v>
      </c>
      <c r="C112" s="1" t="s">
        <v>6</v>
      </c>
      <c r="D112" s="1">
        <v>80000</v>
      </c>
      <c r="E112" s="2">
        <v>43433</v>
      </c>
    </row>
    <row r="113" spans="1:5" x14ac:dyDescent="0.3">
      <c r="A113" s="1" t="s">
        <v>126</v>
      </c>
      <c r="B113" s="1" t="s">
        <v>326</v>
      </c>
      <c r="C113" s="1" t="s">
        <v>8</v>
      </c>
      <c r="D113" s="1">
        <v>54000</v>
      </c>
      <c r="E113" s="2">
        <v>42780</v>
      </c>
    </row>
    <row r="114" spans="1:5" x14ac:dyDescent="0.3">
      <c r="A114" s="1" t="s">
        <v>127</v>
      </c>
      <c r="B114" s="1" t="s">
        <v>327</v>
      </c>
      <c r="C114" s="1" t="s">
        <v>10</v>
      </c>
      <c r="D114" s="1">
        <v>47000</v>
      </c>
      <c r="E114" s="2">
        <v>44411</v>
      </c>
    </row>
    <row r="115" spans="1:5" x14ac:dyDescent="0.3">
      <c r="A115" s="1" t="s">
        <v>128</v>
      </c>
      <c r="B115" s="1" t="s">
        <v>328</v>
      </c>
      <c r="C115" s="1" t="s">
        <v>12</v>
      </c>
      <c r="D115" s="1">
        <v>90000</v>
      </c>
      <c r="E115" s="2">
        <v>42451</v>
      </c>
    </row>
    <row r="116" spans="1:5" x14ac:dyDescent="0.3">
      <c r="A116" s="1" t="s">
        <v>129</v>
      </c>
      <c r="B116" s="1" t="s">
        <v>329</v>
      </c>
      <c r="C116" s="1" t="s">
        <v>14</v>
      </c>
      <c r="D116" s="1">
        <v>62000</v>
      </c>
      <c r="E116" s="2">
        <v>43496</v>
      </c>
    </row>
    <row r="117" spans="1:5" x14ac:dyDescent="0.3">
      <c r="A117" s="1" t="s">
        <v>130</v>
      </c>
      <c r="B117" s="1" t="s">
        <v>330</v>
      </c>
      <c r="C117" s="1" t="s">
        <v>16</v>
      </c>
      <c r="D117" s="1">
        <v>73000</v>
      </c>
      <c r="E117" s="2">
        <v>44086</v>
      </c>
    </row>
    <row r="118" spans="1:5" x14ac:dyDescent="0.3">
      <c r="A118" s="1" t="s">
        <v>131</v>
      </c>
      <c r="B118" s="1" t="s">
        <v>331</v>
      </c>
      <c r="C118" s="1" t="s">
        <v>18</v>
      </c>
      <c r="D118" s="1">
        <v>56000</v>
      </c>
      <c r="E118" s="2">
        <v>42125</v>
      </c>
    </row>
    <row r="119" spans="1:5" x14ac:dyDescent="0.3">
      <c r="A119" s="1" t="s">
        <v>132</v>
      </c>
      <c r="B119" s="1" t="s">
        <v>332</v>
      </c>
      <c r="C119" s="1" t="s">
        <v>20</v>
      </c>
      <c r="D119" s="1">
        <v>67000</v>
      </c>
      <c r="E119" s="2">
        <v>43393</v>
      </c>
    </row>
    <row r="120" spans="1:5" x14ac:dyDescent="0.3">
      <c r="A120" s="1" t="s">
        <v>133</v>
      </c>
      <c r="B120" s="1" t="s">
        <v>333</v>
      </c>
      <c r="C120" s="1" t="s">
        <v>22</v>
      </c>
      <c r="D120" s="1">
        <v>71000</v>
      </c>
      <c r="E120" s="2">
        <v>44872</v>
      </c>
    </row>
    <row r="121" spans="1:5" x14ac:dyDescent="0.3">
      <c r="A121" s="1" t="s">
        <v>134</v>
      </c>
      <c r="B121" s="1" t="s">
        <v>334</v>
      </c>
      <c r="C121" s="1" t="s">
        <v>24</v>
      </c>
      <c r="D121" s="1">
        <v>64000</v>
      </c>
      <c r="E121" s="2">
        <v>42851</v>
      </c>
    </row>
    <row r="122" spans="1:5" x14ac:dyDescent="0.3">
      <c r="A122" s="1" t="s">
        <v>135</v>
      </c>
      <c r="B122" s="1" t="s">
        <v>335</v>
      </c>
      <c r="C122" s="1" t="s">
        <v>6</v>
      </c>
      <c r="D122" s="1">
        <v>52000</v>
      </c>
      <c r="E122" s="2">
        <v>43784</v>
      </c>
    </row>
    <row r="123" spans="1:5" x14ac:dyDescent="0.3">
      <c r="A123" s="1" t="s">
        <v>136</v>
      </c>
      <c r="B123" s="1" t="s">
        <v>336</v>
      </c>
      <c r="C123" s="1" t="s">
        <v>8</v>
      </c>
      <c r="D123" s="1">
        <v>48000</v>
      </c>
      <c r="E123" s="2">
        <v>44072</v>
      </c>
    </row>
    <row r="124" spans="1:5" x14ac:dyDescent="0.3">
      <c r="A124" s="1" t="s">
        <v>137</v>
      </c>
      <c r="B124" s="1" t="s">
        <v>337</v>
      </c>
      <c r="C124" s="1" t="s">
        <v>10</v>
      </c>
      <c r="D124" s="1">
        <v>75000</v>
      </c>
      <c r="E124" s="2">
        <v>43164</v>
      </c>
    </row>
    <row r="125" spans="1:5" x14ac:dyDescent="0.3">
      <c r="A125" s="1" t="s">
        <v>138</v>
      </c>
      <c r="B125" s="1" t="s">
        <v>338</v>
      </c>
      <c r="C125" s="1" t="s">
        <v>12</v>
      </c>
      <c r="D125" s="1">
        <v>61000</v>
      </c>
      <c r="E125" s="2">
        <v>44337</v>
      </c>
    </row>
    <row r="126" spans="1:5" x14ac:dyDescent="0.3">
      <c r="A126" s="1" t="s">
        <v>139</v>
      </c>
      <c r="B126" s="1" t="s">
        <v>339</v>
      </c>
      <c r="C126" s="1" t="s">
        <v>14</v>
      </c>
      <c r="D126" s="1">
        <v>69000</v>
      </c>
      <c r="E126" s="2">
        <v>42986</v>
      </c>
    </row>
    <row r="127" spans="1:5" x14ac:dyDescent="0.3">
      <c r="A127" s="1" t="s">
        <v>140</v>
      </c>
      <c r="B127" s="1" t="s">
        <v>340</v>
      </c>
      <c r="C127" s="1" t="s">
        <v>16</v>
      </c>
      <c r="D127" s="1">
        <v>72000</v>
      </c>
      <c r="E127" s="2">
        <v>44594</v>
      </c>
    </row>
    <row r="128" spans="1:5" x14ac:dyDescent="0.3">
      <c r="A128" s="1" t="s">
        <v>141</v>
      </c>
      <c r="B128" s="1" t="s">
        <v>341</v>
      </c>
      <c r="C128" s="1" t="s">
        <v>18</v>
      </c>
      <c r="D128" s="1">
        <v>50000</v>
      </c>
      <c r="E128" s="2">
        <v>43633</v>
      </c>
    </row>
    <row r="129" spans="1:5" x14ac:dyDescent="0.3">
      <c r="A129" s="1" t="s">
        <v>142</v>
      </c>
      <c r="B129" s="1" t="s">
        <v>342</v>
      </c>
      <c r="C129" s="1" t="s">
        <v>20</v>
      </c>
      <c r="D129" s="1">
        <v>66000</v>
      </c>
      <c r="E129" s="2">
        <v>44127</v>
      </c>
    </row>
    <row r="130" spans="1:5" x14ac:dyDescent="0.3">
      <c r="A130" s="1" t="s">
        <v>143</v>
      </c>
      <c r="B130" s="1" t="s">
        <v>343</v>
      </c>
      <c r="C130" s="1" t="s">
        <v>22</v>
      </c>
      <c r="D130" s="1">
        <v>58000</v>
      </c>
      <c r="E130" s="2">
        <v>42490</v>
      </c>
    </row>
    <row r="131" spans="1:5" x14ac:dyDescent="0.3">
      <c r="A131" s="1" t="s">
        <v>144</v>
      </c>
      <c r="B131" s="1" t="s">
        <v>344</v>
      </c>
      <c r="C131" s="1" t="s">
        <v>24</v>
      </c>
      <c r="D131" s="1">
        <v>45000</v>
      </c>
      <c r="E131" s="2">
        <v>42192</v>
      </c>
    </row>
    <row r="132" spans="1:5" x14ac:dyDescent="0.3">
      <c r="A132" s="1" t="s">
        <v>145</v>
      </c>
      <c r="B132" s="1" t="s">
        <v>345</v>
      </c>
      <c r="C132" s="1" t="s">
        <v>6</v>
      </c>
      <c r="D132" s="1">
        <v>80000</v>
      </c>
      <c r="E132" s="2">
        <v>43452</v>
      </c>
    </row>
    <row r="133" spans="1:5" x14ac:dyDescent="0.3">
      <c r="A133" s="1" t="s">
        <v>146</v>
      </c>
      <c r="B133" s="1" t="s">
        <v>346</v>
      </c>
      <c r="C133" s="1" t="s">
        <v>8</v>
      </c>
      <c r="D133" s="1">
        <v>54000</v>
      </c>
      <c r="E133" s="2">
        <v>43040</v>
      </c>
    </row>
    <row r="134" spans="1:5" x14ac:dyDescent="0.3">
      <c r="A134" s="1" t="s">
        <v>147</v>
      </c>
      <c r="B134" s="1" t="s">
        <v>347</v>
      </c>
      <c r="C134" s="1" t="s">
        <v>10</v>
      </c>
      <c r="D134" s="1">
        <v>47000</v>
      </c>
      <c r="E134" s="2">
        <v>44209</v>
      </c>
    </row>
    <row r="135" spans="1:5" x14ac:dyDescent="0.3">
      <c r="A135" s="1" t="s">
        <v>148</v>
      </c>
      <c r="B135" s="1" t="s">
        <v>348</v>
      </c>
      <c r="C135" s="1" t="s">
        <v>12</v>
      </c>
      <c r="D135" s="1">
        <v>90000</v>
      </c>
      <c r="E135" s="2">
        <v>42606</v>
      </c>
    </row>
    <row r="136" spans="1:5" x14ac:dyDescent="0.3">
      <c r="A136" s="1" t="s">
        <v>149</v>
      </c>
      <c r="B136" s="1" t="s">
        <v>349</v>
      </c>
      <c r="C136" s="1" t="s">
        <v>14</v>
      </c>
      <c r="D136" s="1">
        <v>62000</v>
      </c>
      <c r="E136" s="2">
        <v>43501</v>
      </c>
    </row>
    <row r="137" spans="1:5" x14ac:dyDescent="0.3">
      <c r="A137" s="1" t="s">
        <v>150</v>
      </c>
      <c r="B137" s="1" t="s">
        <v>350</v>
      </c>
      <c r="C137" s="1" t="s">
        <v>16</v>
      </c>
      <c r="D137" s="1">
        <v>73000</v>
      </c>
      <c r="E137" s="2">
        <v>44012</v>
      </c>
    </row>
    <row r="138" spans="1:5" x14ac:dyDescent="0.3">
      <c r="A138" s="1" t="s">
        <v>151</v>
      </c>
      <c r="B138" s="1" t="s">
        <v>351</v>
      </c>
      <c r="C138" s="1" t="s">
        <v>18</v>
      </c>
      <c r="D138" s="1">
        <v>56000</v>
      </c>
      <c r="E138" s="2">
        <v>42266</v>
      </c>
    </row>
    <row r="139" spans="1:5" x14ac:dyDescent="0.3">
      <c r="A139" s="1" t="s">
        <v>152</v>
      </c>
      <c r="B139" s="1" t="s">
        <v>352</v>
      </c>
      <c r="C139" s="1" t="s">
        <v>20</v>
      </c>
      <c r="D139" s="1">
        <v>67000</v>
      </c>
      <c r="E139" s="2">
        <v>43198</v>
      </c>
    </row>
    <row r="140" spans="1:5" x14ac:dyDescent="0.3">
      <c r="A140" s="1" t="s">
        <v>153</v>
      </c>
      <c r="B140" s="1" t="s">
        <v>353</v>
      </c>
      <c r="C140" s="1" t="s">
        <v>22</v>
      </c>
      <c r="D140" s="1">
        <v>71000</v>
      </c>
      <c r="E140" s="2">
        <v>44805</v>
      </c>
    </row>
    <row r="141" spans="1:5" x14ac:dyDescent="0.3">
      <c r="A141" s="1" t="s">
        <v>154</v>
      </c>
      <c r="B141" s="1" t="s">
        <v>354</v>
      </c>
      <c r="C141" s="1" t="s">
        <v>24</v>
      </c>
      <c r="D141" s="1">
        <v>64000</v>
      </c>
      <c r="E141" s="2">
        <v>43079</v>
      </c>
    </row>
    <row r="142" spans="1:5" x14ac:dyDescent="0.3">
      <c r="A142" s="1" t="s">
        <v>155</v>
      </c>
      <c r="B142" s="1" t="s">
        <v>355</v>
      </c>
      <c r="C142" s="1" t="s">
        <v>6</v>
      </c>
      <c r="D142" s="1">
        <v>52000</v>
      </c>
      <c r="E142" s="2">
        <v>43557</v>
      </c>
    </row>
    <row r="143" spans="1:5" x14ac:dyDescent="0.3">
      <c r="A143" s="1" t="s">
        <v>156</v>
      </c>
      <c r="B143" s="1" t="s">
        <v>356</v>
      </c>
      <c r="C143" s="1" t="s">
        <v>8</v>
      </c>
      <c r="D143" s="1">
        <v>48000</v>
      </c>
      <c r="E143" s="2">
        <v>43872</v>
      </c>
    </row>
    <row r="144" spans="1:5" x14ac:dyDescent="0.3">
      <c r="A144" s="1" t="s">
        <v>157</v>
      </c>
      <c r="B144" s="1" t="s">
        <v>357</v>
      </c>
      <c r="C144" s="1" t="s">
        <v>10</v>
      </c>
      <c r="D144" s="1">
        <v>75000</v>
      </c>
      <c r="E144" s="2">
        <v>43307</v>
      </c>
    </row>
    <row r="145" spans="1:5" x14ac:dyDescent="0.3">
      <c r="A145" s="1" t="s">
        <v>158</v>
      </c>
      <c r="B145" s="1" t="s">
        <v>358</v>
      </c>
      <c r="C145" s="1" t="s">
        <v>12</v>
      </c>
      <c r="D145" s="1">
        <v>61000</v>
      </c>
      <c r="E145" s="2">
        <v>44484</v>
      </c>
    </row>
    <row r="146" spans="1:5" x14ac:dyDescent="0.3">
      <c r="A146" s="1" t="s">
        <v>159</v>
      </c>
      <c r="B146" s="1" t="s">
        <v>359</v>
      </c>
      <c r="C146" s="1" t="s">
        <v>14</v>
      </c>
      <c r="D146" s="1">
        <v>69000</v>
      </c>
      <c r="E146" s="2">
        <v>42879</v>
      </c>
    </row>
    <row r="147" spans="1:5" x14ac:dyDescent="0.3">
      <c r="A147" s="1" t="s">
        <v>160</v>
      </c>
      <c r="B147" s="1" t="s">
        <v>360</v>
      </c>
      <c r="C147" s="1" t="s">
        <v>16</v>
      </c>
      <c r="D147" s="1">
        <v>72000</v>
      </c>
      <c r="E147" s="2">
        <v>44623</v>
      </c>
    </row>
    <row r="148" spans="1:5" x14ac:dyDescent="0.3">
      <c r="A148" s="1" t="s">
        <v>161</v>
      </c>
      <c r="B148" s="1" t="s">
        <v>361</v>
      </c>
      <c r="C148" s="1" t="s">
        <v>18</v>
      </c>
      <c r="D148" s="1">
        <v>50000</v>
      </c>
      <c r="E148" s="2">
        <v>43485</v>
      </c>
    </row>
    <row r="149" spans="1:5" x14ac:dyDescent="0.3">
      <c r="A149" s="1" t="s">
        <v>162</v>
      </c>
      <c r="B149" s="1" t="s">
        <v>362</v>
      </c>
      <c r="C149" s="1" t="s">
        <v>20</v>
      </c>
      <c r="D149" s="1">
        <v>66000</v>
      </c>
      <c r="E149" s="2">
        <v>44021</v>
      </c>
    </row>
    <row r="150" spans="1:5" x14ac:dyDescent="0.3">
      <c r="A150" s="1" t="s">
        <v>163</v>
      </c>
      <c r="B150" s="1" t="s">
        <v>363</v>
      </c>
      <c r="C150" s="1" t="s">
        <v>22</v>
      </c>
      <c r="D150" s="1">
        <v>58000</v>
      </c>
      <c r="E150" s="2">
        <v>42671</v>
      </c>
    </row>
    <row r="151" spans="1:5" x14ac:dyDescent="0.3">
      <c r="A151" s="1" t="s">
        <v>164</v>
      </c>
      <c r="B151" s="1" t="s">
        <v>364</v>
      </c>
      <c r="C151" s="1" t="s">
        <v>24</v>
      </c>
      <c r="D151" s="1">
        <v>45000</v>
      </c>
      <c r="E151" s="2">
        <v>42075</v>
      </c>
    </row>
    <row r="152" spans="1:5" x14ac:dyDescent="0.3">
      <c r="A152" s="1" t="s">
        <v>165</v>
      </c>
      <c r="B152" s="1" t="s">
        <v>365</v>
      </c>
      <c r="C152" s="1" t="s">
        <v>6</v>
      </c>
      <c r="D152" s="1">
        <v>80000</v>
      </c>
      <c r="E152" s="2">
        <v>43221</v>
      </c>
    </row>
    <row r="153" spans="1:5" x14ac:dyDescent="0.3">
      <c r="A153" s="1" t="s">
        <v>166</v>
      </c>
      <c r="B153" s="1" t="s">
        <v>366</v>
      </c>
      <c r="C153" s="1" t="s">
        <v>8</v>
      </c>
      <c r="D153" s="1">
        <v>54000</v>
      </c>
      <c r="E153" s="2">
        <v>42902</v>
      </c>
    </row>
    <row r="154" spans="1:5" x14ac:dyDescent="0.3">
      <c r="A154" s="1" t="s">
        <v>167</v>
      </c>
      <c r="B154" s="1" t="s">
        <v>367</v>
      </c>
      <c r="C154" s="1" t="s">
        <v>10</v>
      </c>
      <c r="D154" s="1">
        <v>47000</v>
      </c>
      <c r="E154" s="2">
        <v>44231</v>
      </c>
    </row>
    <row r="155" spans="1:5" x14ac:dyDescent="0.3">
      <c r="A155" s="1" t="s">
        <v>168</v>
      </c>
      <c r="B155" s="1" t="s">
        <v>368</v>
      </c>
      <c r="C155" s="1" t="s">
        <v>12</v>
      </c>
      <c r="D155" s="1">
        <v>90000</v>
      </c>
      <c r="E155" s="2">
        <v>42697</v>
      </c>
    </row>
    <row r="156" spans="1:5" x14ac:dyDescent="0.3">
      <c r="A156" s="1" t="s">
        <v>169</v>
      </c>
      <c r="B156" s="1" t="s">
        <v>369</v>
      </c>
      <c r="C156" s="1" t="s">
        <v>14</v>
      </c>
      <c r="D156" s="1">
        <v>62000</v>
      </c>
      <c r="E156" s="2">
        <v>43689</v>
      </c>
    </row>
    <row r="157" spans="1:5" x14ac:dyDescent="0.3">
      <c r="A157" s="1" t="s">
        <v>170</v>
      </c>
      <c r="B157" s="1" t="s">
        <v>370</v>
      </c>
      <c r="C157" s="1" t="s">
        <v>16</v>
      </c>
      <c r="D157" s="1">
        <v>73000</v>
      </c>
      <c r="E157" s="2">
        <v>44194</v>
      </c>
    </row>
    <row r="158" spans="1:5" x14ac:dyDescent="0.3">
      <c r="A158" s="1" t="s">
        <v>171</v>
      </c>
      <c r="B158" s="1" t="s">
        <v>371</v>
      </c>
      <c r="C158" s="1" t="s">
        <v>18</v>
      </c>
      <c r="D158" s="1">
        <v>56000</v>
      </c>
      <c r="E158" s="2">
        <v>42011</v>
      </c>
    </row>
    <row r="159" spans="1:5" x14ac:dyDescent="0.3">
      <c r="A159" s="1" t="s">
        <v>172</v>
      </c>
      <c r="B159" s="1" t="s">
        <v>372</v>
      </c>
      <c r="C159" s="1" t="s">
        <v>20</v>
      </c>
      <c r="D159" s="1">
        <v>67000</v>
      </c>
      <c r="E159" s="2">
        <v>43269</v>
      </c>
    </row>
    <row r="160" spans="1:5" x14ac:dyDescent="0.3">
      <c r="A160" s="1" t="s">
        <v>173</v>
      </c>
      <c r="B160" s="1" t="s">
        <v>373</v>
      </c>
      <c r="C160" s="1" t="s">
        <v>22</v>
      </c>
      <c r="D160" s="1">
        <v>71000</v>
      </c>
      <c r="E160" s="2">
        <v>44706</v>
      </c>
    </row>
    <row r="161" spans="1:5" x14ac:dyDescent="0.3">
      <c r="A161" s="1" t="s">
        <v>174</v>
      </c>
      <c r="B161" s="1" t="s">
        <v>374</v>
      </c>
      <c r="C161" s="1" t="s">
        <v>24</v>
      </c>
      <c r="D161" s="1">
        <v>64000</v>
      </c>
      <c r="E161" s="2">
        <v>42768</v>
      </c>
    </row>
    <row r="162" spans="1:5" x14ac:dyDescent="0.3">
      <c r="A162" s="1" t="s">
        <v>175</v>
      </c>
      <c r="B162" s="1" t="s">
        <v>375</v>
      </c>
      <c r="C162" s="1" t="s">
        <v>6</v>
      </c>
      <c r="D162" s="1">
        <v>52000</v>
      </c>
      <c r="E162" s="2">
        <v>43758</v>
      </c>
    </row>
    <row r="163" spans="1:5" x14ac:dyDescent="0.3">
      <c r="A163" s="1" t="s">
        <v>176</v>
      </c>
      <c r="B163" s="1" t="s">
        <v>376</v>
      </c>
      <c r="C163" s="1" t="s">
        <v>8</v>
      </c>
      <c r="D163" s="1">
        <v>48000</v>
      </c>
      <c r="E163" s="2">
        <v>43922</v>
      </c>
    </row>
    <row r="164" spans="1:5" x14ac:dyDescent="0.3">
      <c r="A164" s="1" t="s">
        <v>177</v>
      </c>
      <c r="B164" s="1" t="s">
        <v>377</v>
      </c>
      <c r="C164" s="1" t="s">
        <v>10</v>
      </c>
      <c r="D164" s="1">
        <v>75000</v>
      </c>
      <c r="E164" s="2">
        <v>43356</v>
      </c>
    </row>
    <row r="165" spans="1:5" x14ac:dyDescent="0.3">
      <c r="A165" s="1" t="s">
        <v>178</v>
      </c>
      <c r="B165" s="1" t="s">
        <v>378</v>
      </c>
      <c r="C165" s="1" t="s">
        <v>12</v>
      </c>
      <c r="D165" s="1">
        <v>61000</v>
      </c>
      <c r="E165" s="2">
        <v>44353</v>
      </c>
    </row>
    <row r="166" spans="1:5" x14ac:dyDescent="0.3">
      <c r="A166" s="1" t="s">
        <v>179</v>
      </c>
      <c r="B166" s="1" t="s">
        <v>379</v>
      </c>
      <c r="C166" s="1" t="s">
        <v>14</v>
      </c>
      <c r="D166" s="1">
        <v>69000</v>
      </c>
      <c r="E166" s="2">
        <v>43066</v>
      </c>
    </row>
    <row r="167" spans="1:5" x14ac:dyDescent="0.3">
      <c r="A167" s="1" t="s">
        <v>180</v>
      </c>
      <c r="B167" s="1" t="s">
        <v>380</v>
      </c>
      <c r="C167" s="1" t="s">
        <v>16</v>
      </c>
      <c r="D167" s="1">
        <v>72000</v>
      </c>
      <c r="E167" s="2">
        <v>44576</v>
      </c>
    </row>
    <row r="168" spans="1:5" x14ac:dyDescent="0.3">
      <c r="A168" s="1" t="s">
        <v>181</v>
      </c>
      <c r="B168" s="1" t="s">
        <v>381</v>
      </c>
      <c r="C168" s="1" t="s">
        <v>18</v>
      </c>
      <c r="D168" s="1">
        <v>50000</v>
      </c>
      <c r="E168" s="2">
        <v>43532</v>
      </c>
    </row>
    <row r="169" spans="1:5" x14ac:dyDescent="0.3">
      <c r="A169" s="1" t="s">
        <v>182</v>
      </c>
      <c r="B169" s="1" t="s">
        <v>382</v>
      </c>
      <c r="C169" s="1" t="s">
        <v>20</v>
      </c>
      <c r="D169" s="1">
        <v>66000</v>
      </c>
      <c r="E169" s="2">
        <v>44063</v>
      </c>
    </row>
    <row r="170" spans="1:5" x14ac:dyDescent="0.3">
      <c r="A170" s="1" t="s">
        <v>183</v>
      </c>
      <c r="B170" s="1" t="s">
        <v>383</v>
      </c>
      <c r="C170" s="1" t="s">
        <v>22</v>
      </c>
      <c r="D170" s="1">
        <v>58000</v>
      </c>
      <c r="E170" s="2">
        <v>42409</v>
      </c>
    </row>
    <row r="171" spans="1:5" x14ac:dyDescent="0.3">
      <c r="A171" s="1" t="s">
        <v>184</v>
      </c>
      <c r="B171" s="1" t="s">
        <v>384</v>
      </c>
      <c r="C171" s="1" t="s">
        <v>24</v>
      </c>
      <c r="D171" s="1">
        <v>45000</v>
      </c>
      <c r="E171" s="2">
        <v>42277</v>
      </c>
    </row>
    <row r="172" spans="1:5" x14ac:dyDescent="0.3">
      <c r="A172" s="1" t="s">
        <v>185</v>
      </c>
      <c r="B172" s="1" t="s">
        <v>385</v>
      </c>
      <c r="C172" s="1" t="s">
        <v>6</v>
      </c>
      <c r="D172" s="1">
        <v>80000</v>
      </c>
      <c r="E172" s="2">
        <v>43119</v>
      </c>
    </row>
    <row r="173" spans="1:5" x14ac:dyDescent="0.3">
      <c r="A173" s="1" t="s">
        <v>186</v>
      </c>
      <c r="B173" s="1" t="s">
        <v>386</v>
      </c>
      <c r="C173" s="1" t="s">
        <v>8</v>
      </c>
      <c r="D173" s="1">
        <v>54000</v>
      </c>
      <c r="E173" s="2">
        <v>42822</v>
      </c>
    </row>
    <row r="174" spans="1:5" x14ac:dyDescent="0.3">
      <c r="A174" s="1" t="s">
        <v>187</v>
      </c>
      <c r="B174" s="1" t="s">
        <v>387</v>
      </c>
      <c r="C174" s="1" t="s">
        <v>10</v>
      </c>
      <c r="D174" s="1">
        <v>47000</v>
      </c>
      <c r="E174" s="2">
        <v>44325</v>
      </c>
    </row>
    <row r="175" spans="1:5" x14ac:dyDescent="0.3">
      <c r="A175" s="1" t="s">
        <v>188</v>
      </c>
      <c r="B175" s="1" t="s">
        <v>388</v>
      </c>
      <c r="C175" s="1" t="s">
        <v>12</v>
      </c>
      <c r="D175" s="1">
        <v>90000</v>
      </c>
      <c r="E175" s="2">
        <v>42535</v>
      </c>
    </row>
    <row r="176" spans="1:5" x14ac:dyDescent="0.3">
      <c r="A176" s="1" t="s">
        <v>189</v>
      </c>
      <c r="B176" s="1" t="s">
        <v>389</v>
      </c>
      <c r="C176" s="1" t="s">
        <v>14</v>
      </c>
      <c r="D176" s="1">
        <v>62000</v>
      </c>
      <c r="E176" s="2">
        <v>43669</v>
      </c>
    </row>
    <row r="177" spans="1:5" x14ac:dyDescent="0.3">
      <c r="A177" s="1" t="s">
        <v>190</v>
      </c>
      <c r="B177" s="1" t="s">
        <v>390</v>
      </c>
      <c r="C177" s="1" t="s">
        <v>16</v>
      </c>
      <c r="D177" s="1">
        <v>73000</v>
      </c>
      <c r="E177" s="2">
        <v>44139</v>
      </c>
    </row>
    <row r="178" spans="1:5" x14ac:dyDescent="0.3">
      <c r="A178" s="1" t="s">
        <v>191</v>
      </c>
      <c r="B178" s="1" t="s">
        <v>391</v>
      </c>
      <c r="C178" s="1" t="s">
        <v>18</v>
      </c>
      <c r="D178" s="1">
        <v>56000</v>
      </c>
      <c r="E178" s="2">
        <v>42217</v>
      </c>
    </row>
    <row r="179" spans="1:5" x14ac:dyDescent="0.3">
      <c r="A179" s="1" t="s">
        <v>192</v>
      </c>
      <c r="B179" s="1" t="s">
        <v>392</v>
      </c>
      <c r="C179" s="1" t="s">
        <v>20</v>
      </c>
      <c r="D179" s="1">
        <v>67000</v>
      </c>
      <c r="E179" s="2">
        <v>43169</v>
      </c>
    </row>
    <row r="180" spans="1:5" x14ac:dyDescent="0.3">
      <c r="A180" s="1" t="s">
        <v>193</v>
      </c>
      <c r="B180" s="1" t="s">
        <v>393</v>
      </c>
      <c r="C180" s="1" t="s">
        <v>22</v>
      </c>
      <c r="D180" s="1">
        <v>71000</v>
      </c>
      <c r="E180" s="2">
        <v>44740</v>
      </c>
    </row>
    <row r="181" spans="1:5" x14ac:dyDescent="0.3">
      <c r="A181" s="1" t="s">
        <v>194</v>
      </c>
      <c r="B181" s="1" t="s">
        <v>394</v>
      </c>
      <c r="C181" s="1" t="s">
        <v>24</v>
      </c>
      <c r="D181" s="1">
        <v>64000</v>
      </c>
      <c r="E181" s="2">
        <v>42737</v>
      </c>
    </row>
    <row r="182" spans="1:5" x14ac:dyDescent="0.3">
      <c r="A182" s="1" t="s">
        <v>195</v>
      </c>
      <c r="B182" s="1" t="s">
        <v>395</v>
      </c>
      <c r="C182" s="1" t="s">
        <v>6</v>
      </c>
      <c r="D182" s="1">
        <v>52000</v>
      </c>
      <c r="E182" s="2">
        <v>43622</v>
      </c>
    </row>
    <row r="183" spans="1:5" x14ac:dyDescent="0.3">
      <c r="A183" s="1" t="s">
        <v>196</v>
      </c>
      <c r="B183" s="1" t="s">
        <v>396</v>
      </c>
      <c r="C183" s="1" t="s">
        <v>8</v>
      </c>
      <c r="D183" s="1">
        <v>48000</v>
      </c>
      <c r="E183" s="2">
        <v>44091</v>
      </c>
    </row>
    <row r="184" spans="1:5" x14ac:dyDescent="0.3">
      <c r="A184" s="1" t="s">
        <v>197</v>
      </c>
      <c r="B184" s="1" t="s">
        <v>397</v>
      </c>
      <c r="C184" s="1" t="s">
        <v>10</v>
      </c>
      <c r="D184" s="1">
        <v>75000</v>
      </c>
      <c r="E184" s="2">
        <v>43156</v>
      </c>
    </row>
    <row r="185" spans="1:5" x14ac:dyDescent="0.3">
      <c r="A185" s="1" t="s">
        <v>198</v>
      </c>
      <c r="B185" s="1" t="s">
        <v>398</v>
      </c>
      <c r="C185" s="1" t="s">
        <v>12</v>
      </c>
      <c r="D185" s="1">
        <v>61000</v>
      </c>
      <c r="E185" s="2">
        <v>44439</v>
      </c>
    </row>
    <row r="186" spans="1:5" x14ac:dyDescent="0.3">
      <c r="A186" s="1" t="s">
        <v>199</v>
      </c>
      <c r="B186" s="1" t="s">
        <v>399</v>
      </c>
      <c r="C186" s="1" t="s">
        <v>14</v>
      </c>
      <c r="D186" s="1">
        <v>69000</v>
      </c>
      <c r="E186" s="2">
        <v>42837</v>
      </c>
    </row>
    <row r="187" spans="1:5" x14ac:dyDescent="0.3">
      <c r="A187" s="1" t="s">
        <v>200</v>
      </c>
      <c r="B187" s="1" t="s">
        <v>400</v>
      </c>
      <c r="C187" s="1" t="s">
        <v>16</v>
      </c>
      <c r="D187" s="1">
        <v>72000</v>
      </c>
      <c r="E187" s="2">
        <v>44656</v>
      </c>
    </row>
    <row r="188" spans="1:5" x14ac:dyDescent="0.3">
      <c r="A188" s="1" t="s">
        <v>201</v>
      </c>
      <c r="B188" s="1" t="s">
        <v>401</v>
      </c>
      <c r="C188" s="1" t="s">
        <v>18</v>
      </c>
      <c r="D188" s="1">
        <v>50000</v>
      </c>
      <c r="E188" s="2">
        <v>43827</v>
      </c>
    </row>
    <row r="189" spans="1:5" x14ac:dyDescent="0.3">
      <c r="A189" s="1" t="s">
        <v>202</v>
      </c>
      <c r="B189" s="1" t="s">
        <v>402</v>
      </c>
      <c r="C189" s="1" t="s">
        <v>20</v>
      </c>
      <c r="D189" s="1">
        <v>66000</v>
      </c>
      <c r="E189" s="2">
        <v>44004</v>
      </c>
    </row>
    <row r="190" spans="1:5" x14ac:dyDescent="0.3">
      <c r="A190" s="1" t="s">
        <v>203</v>
      </c>
      <c r="B190" s="1" t="s">
        <v>403</v>
      </c>
      <c r="C190" s="1" t="s">
        <v>22</v>
      </c>
      <c r="D190" s="1">
        <v>58000</v>
      </c>
      <c r="E190" s="2">
        <v>42566</v>
      </c>
    </row>
    <row r="191" spans="1:5" x14ac:dyDescent="0.3">
      <c r="A191" s="1" t="s">
        <v>204</v>
      </c>
      <c r="B191" s="1" t="s">
        <v>404</v>
      </c>
      <c r="C191" s="1" t="s">
        <v>24</v>
      </c>
      <c r="D191" s="1">
        <v>45000</v>
      </c>
      <c r="E191" s="2">
        <v>42030</v>
      </c>
    </row>
    <row r="192" spans="1:5" x14ac:dyDescent="0.3">
      <c r="A192" s="1" t="s">
        <v>205</v>
      </c>
      <c r="B192" s="1" t="s">
        <v>405</v>
      </c>
      <c r="C192" s="1" t="s">
        <v>6</v>
      </c>
      <c r="D192" s="1">
        <v>80000</v>
      </c>
      <c r="E192" s="2">
        <v>43382</v>
      </c>
    </row>
    <row r="193" spans="1:5" x14ac:dyDescent="0.3">
      <c r="A193" s="1" t="s">
        <v>206</v>
      </c>
      <c r="B193" s="1" t="s">
        <v>406</v>
      </c>
      <c r="C193" s="1" t="s">
        <v>8</v>
      </c>
      <c r="D193" s="1">
        <v>54000</v>
      </c>
      <c r="E193" s="2">
        <v>42873</v>
      </c>
    </row>
    <row r="194" spans="1:5" x14ac:dyDescent="0.3">
      <c r="A194" s="1" t="s">
        <v>207</v>
      </c>
      <c r="B194" s="1" t="s">
        <v>407</v>
      </c>
      <c r="C194" s="1" t="s">
        <v>10</v>
      </c>
      <c r="D194" s="1">
        <v>47000</v>
      </c>
      <c r="E194" s="2">
        <v>44378</v>
      </c>
    </row>
    <row r="195" spans="1:5" x14ac:dyDescent="0.3">
      <c r="A195" s="1" t="s">
        <v>208</v>
      </c>
      <c r="B195" s="1" t="s">
        <v>408</v>
      </c>
      <c r="C195" s="1" t="s">
        <v>12</v>
      </c>
      <c r="D195" s="1">
        <v>90000</v>
      </c>
      <c r="E195" s="2">
        <v>42715</v>
      </c>
    </row>
    <row r="196" spans="1:5" x14ac:dyDescent="0.3">
      <c r="A196" s="1" t="s">
        <v>209</v>
      </c>
      <c r="B196" s="1" t="s">
        <v>409</v>
      </c>
      <c r="C196" s="1" t="s">
        <v>14</v>
      </c>
      <c r="D196" s="1">
        <v>62000</v>
      </c>
      <c r="E196" s="2">
        <v>43553</v>
      </c>
    </row>
    <row r="197" spans="1:5" x14ac:dyDescent="0.3">
      <c r="A197" s="1" t="s">
        <v>210</v>
      </c>
      <c r="B197" s="1" t="s">
        <v>410</v>
      </c>
      <c r="C197" s="1" t="s">
        <v>16</v>
      </c>
      <c r="D197" s="1">
        <v>73000</v>
      </c>
      <c r="E197" s="2">
        <v>43971</v>
      </c>
    </row>
    <row r="198" spans="1:5" x14ac:dyDescent="0.3">
      <c r="A198" s="1" t="s">
        <v>211</v>
      </c>
      <c r="B198" s="1" t="s">
        <v>411</v>
      </c>
      <c r="C198" s="1" t="s">
        <v>18</v>
      </c>
      <c r="D198" s="1">
        <v>56000</v>
      </c>
      <c r="E198" s="2">
        <v>42283</v>
      </c>
    </row>
    <row r="199" spans="1:5" x14ac:dyDescent="0.3">
      <c r="A199" s="1" t="s">
        <v>212</v>
      </c>
      <c r="B199" s="1" t="s">
        <v>412</v>
      </c>
      <c r="C199" s="1" t="s">
        <v>20</v>
      </c>
      <c r="D199" s="1">
        <v>67000</v>
      </c>
      <c r="E199" s="2">
        <v>43327</v>
      </c>
    </row>
    <row r="200" spans="1:5" x14ac:dyDescent="0.3">
      <c r="A200" s="1" t="s">
        <v>213</v>
      </c>
      <c r="B200" s="1" t="s">
        <v>413</v>
      </c>
      <c r="C200" s="1" t="s">
        <v>22</v>
      </c>
      <c r="D200" s="1">
        <v>71000</v>
      </c>
      <c r="E200" s="2">
        <v>44600</v>
      </c>
    </row>
    <row r="201" spans="1:5" x14ac:dyDescent="0.3">
      <c r="A201" s="1" t="s">
        <v>214</v>
      </c>
      <c r="B201" s="1" t="s">
        <v>414</v>
      </c>
      <c r="C201" s="1" t="s">
        <v>24</v>
      </c>
      <c r="D201" s="1">
        <v>64000</v>
      </c>
      <c r="E201" s="2">
        <v>42950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EC82-D3F1-4B88-AA35-B2F79857BD11}">
  <dimension ref="A1:E201"/>
  <sheetViews>
    <sheetView workbookViewId="0">
      <selection activeCell="G19" sqref="G19"/>
    </sheetView>
  </sheetViews>
  <sheetFormatPr defaultRowHeight="14.4" x14ac:dyDescent="0.3"/>
  <cols>
    <col min="2" max="2" width="17.6640625" bestFit="1" customWidth="1"/>
    <col min="3" max="3" width="12.109375" customWidth="1"/>
    <col min="5" max="5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215</v>
      </c>
      <c r="C2" s="1" t="s">
        <v>6</v>
      </c>
      <c r="D2" s="1">
        <v>52000</v>
      </c>
      <c r="E2" s="2">
        <v>43536</v>
      </c>
    </row>
    <row r="3" spans="1:5" x14ac:dyDescent="0.3">
      <c r="A3" s="1" t="s">
        <v>7</v>
      </c>
      <c r="B3" s="1" t="s">
        <v>216</v>
      </c>
      <c r="C3" s="1" t="s">
        <v>8</v>
      </c>
      <c r="D3" s="1">
        <v>48000</v>
      </c>
      <c r="E3" s="2">
        <v>44013</v>
      </c>
    </row>
    <row r="4" spans="1:5" x14ac:dyDescent="0.3">
      <c r="A4" s="1" t="s">
        <v>9</v>
      </c>
      <c r="B4" s="1" t="s">
        <v>217</v>
      </c>
      <c r="C4" s="1" t="s">
        <v>10</v>
      </c>
      <c r="D4" s="1">
        <v>75000</v>
      </c>
      <c r="E4" s="2">
        <v>43424</v>
      </c>
    </row>
    <row r="5" spans="1:5" x14ac:dyDescent="0.3">
      <c r="A5" s="1" t="s">
        <v>11</v>
      </c>
      <c r="B5" s="1" t="s">
        <v>218</v>
      </c>
      <c r="C5" s="1" t="s">
        <v>12</v>
      </c>
      <c r="D5" s="1">
        <v>61000</v>
      </c>
      <c r="E5" s="2">
        <v>44211</v>
      </c>
    </row>
    <row r="6" spans="1:5" x14ac:dyDescent="0.3">
      <c r="A6" s="1" t="s">
        <v>13</v>
      </c>
      <c r="B6" s="1" t="s">
        <v>219</v>
      </c>
      <c r="C6" s="1" t="s">
        <v>14</v>
      </c>
      <c r="D6" s="1">
        <v>69000</v>
      </c>
      <c r="E6" s="2">
        <v>42916</v>
      </c>
    </row>
    <row r="7" spans="1:5" x14ac:dyDescent="0.3">
      <c r="A7" s="1" t="s">
        <v>15</v>
      </c>
      <c r="B7" s="1" t="s">
        <v>220</v>
      </c>
      <c r="C7" s="1" t="s">
        <v>16</v>
      </c>
      <c r="D7" s="1">
        <v>72000</v>
      </c>
      <c r="E7" s="2">
        <v>44809</v>
      </c>
    </row>
    <row r="8" spans="1:5" x14ac:dyDescent="0.3">
      <c r="A8" s="1" t="s">
        <v>17</v>
      </c>
      <c r="B8" s="1" t="s">
        <v>221</v>
      </c>
      <c r="C8" s="1" t="s">
        <v>18</v>
      </c>
      <c r="D8" s="1">
        <v>50000</v>
      </c>
      <c r="E8" s="2">
        <v>43809</v>
      </c>
    </row>
    <row r="9" spans="1:5" x14ac:dyDescent="0.3">
      <c r="A9" s="1" t="s">
        <v>19</v>
      </c>
      <c r="B9" s="1" t="s">
        <v>222</v>
      </c>
      <c r="C9" s="1" t="s">
        <v>20</v>
      </c>
      <c r="D9" s="1">
        <v>66000</v>
      </c>
      <c r="E9" s="2">
        <v>43886</v>
      </c>
    </row>
    <row r="10" spans="1:5" x14ac:dyDescent="0.3">
      <c r="A10" s="1" t="s">
        <v>21</v>
      </c>
      <c r="B10" s="1" t="s">
        <v>223</v>
      </c>
      <c r="C10" s="1" t="s">
        <v>22</v>
      </c>
      <c r="D10" s="1">
        <v>58000</v>
      </c>
      <c r="E10" s="2">
        <v>42600</v>
      </c>
    </row>
    <row r="11" spans="1:5" x14ac:dyDescent="0.3">
      <c r="A11" s="1" t="s">
        <v>23</v>
      </c>
      <c r="B11" s="1" t="s">
        <v>224</v>
      </c>
      <c r="C11" s="1" t="s">
        <v>24</v>
      </c>
      <c r="D11" s="1">
        <v>45000</v>
      </c>
      <c r="E11" s="2">
        <v>42146</v>
      </c>
    </row>
    <row r="12" spans="1:5" x14ac:dyDescent="0.3">
      <c r="A12" s="1" t="s">
        <v>25</v>
      </c>
      <c r="B12" s="1" t="s">
        <v>225</v>
      </c>
      <c r="C12" s="1" t="s">
        <v>6</v>
      </c>
      <c r="D12" s="1">
        <v>80000</v>
      </c>
      <c r="E12" s="2">
        <v>43193</v>
      </c>
    </row>
    <row r="13" spans="1:5" x14ac:dyDescent="0.3">
      <c r="A13" s="1" t="s">
        <v>26</v>
      </c>
      <c r="B13" s="1" t="s">
        <v>226</v>
      </c>
      <c r="C13" s="1" t="s">
        <v>8</v>
      </c>
      <c r="D13" s="1">
        <v>54000</v>
      </c>
      <c r="E13" s="2">
        <v>42992</v>
      </c>
    </row>
    <row r="14" spans="1:5" x14ac:dyDescent="0.3">
      <c r="A14" s="1" t="s">
        <v>27</v>
      </c>
      <c r="B14" s="1" t="s">
        <v>227</v>
      </c>
      <c r="C14" s="1" t="s">
        <v>10</v>
      </c>
      <c r="D14" s="1">
        <v>47000</v>
      </c>
      <c r="E14" s="2">
        <v>44502</v>
      </c>
    </row>
    <row r="15" spans="1:5" x14ac:dyDescent="0.3">
      <c r="A15" s="1" t="s">
        <v>28</v>
      </c>
      <c r="B15" s="1" t="s">
        <v>228</v>
      </c>
      <c r="C15" s="1" t="s">
        <v>12</v>
      </c>
      <c r="D15" s="1">
        <v>90000</v>
      </c>
      <c r="E15" s="2">
        <v>42396</v>
      </c>
    </row>
    <row r="16" spans="1:5" x14ac:dyDescent="0.3">
      <c r="A16" s="1" t="s">
        <v>29</v>
      </c>
      <c r="B16" s="1" t="s">
        <v>229</v>
      </c>
      <c r="C16" s="1" t="s">
        <v>14</v>
      </c>
      <c r="D16" s="1">
        <v>62000</v>
      </c>
      <c r="E16" s="2">
        <v>43635</v>
      </c>
    </row>
    <row r="17" spans="1:5" x14ac:dyDescent="0.3">
      <c r="A17" s="1" t="s">
        <v>30</v>
      </c>
      <c r="B17" s="1" t="s">
        <v>230</v>
      </c>
      <c r="C17" s="1" t="s">
        <v>16</v>
      </c>
      <c r="D17" s="1">
        <v>73000</v>
      </c>
      <c r="E17" s="2">
        <v>44112</v>
      </c>
    </row>
    <row r="18" spans="1:5" x14ac:dyDescent="0.3">
      <c r="A18" s="1" t="s">
        <v>31</v>
      </c>
      <c r="B18" s="1" t="s">
        <v>231</v>
      </c>
      <c r="C18" s="1" t="s">
        <v>18</v>
      </c>
      <c r="D18" s="1">
        <v>56000</v>
      </c>
      <c r="E18" s="2">
        <v>42343</v>
      </c>
    </row>
    <row r="19" spans="1:5" x14ac:dyDescent="0.3">
      <c r="A19" s="1" t="s">
        <v>32</v>
      </c>
      <c r="B19" s="1" t="s">
        <v>232</v>
      </c>
      <c r="C19" s="1" t="s">
        <v>20</v>
      </c>
      <c r="D19" s="1">
        <v>67000</v>
      </c>
      <c r="E19" s="2">
        <v>43152</v>
      </c>
    </row>
    <row r="20" spans="1:5" x14ac:dyDescent="0.3">
      <c r="A20" s="1" t="s">
        <v>33</v>
      </c>
      <c r="B20" s="1" t="s">
        <v>233</v>
      </c>
      <c r="C20" s="1" t="s">
        <v>22</v>
      </c>
      <c r="D20" s="1">
        <v>71000</v>
      </c>
      <c r="E20" s="2">
        <v>44650</v>
      </c>
    </row>
    <row r="21" spans="1:5" x14ac:dyDescent="0.3">
      <c r="A21" s="1" t="s">
        <v>34</v>
      </c>
      <c r="B21" s="1" t="s">
        <v>234</v>
      </c>
      <c r="C21" s="1" t="s">
        <v>24</v>
      </c>
      <c r="D21" s="1">
        <v>64000</v>
      </c>
      <c r="E21" s="2">
        <v>42927</v>
      </c>
    </row>
    <row r="22" spans="1:5" x14ac:dyDescent="0.3">
      <c r="A22" s="1" t="s">
        <v>35</v>
      </c>
      <c r="B22" s="1" t="s">
        <v>235</v>
      </c>
      <c r="C22" s="1" t="s">
        <v>6</v>
      </c>
      <c r="D22" s="1">
        <v>52000</v>
      </c>
      <c r="E22" s="2">
        <v>43474</v>
      </c>
    </row>
    <row r="23" spans="1:5" x14ac:dyDescent="0.3">
      <c r="A23" s="1" t="s">
        <v>36</v>
      </c>
      <c r="B23" s="1" t="s">
        <v>236</v>
      </c>
      <c r="C23" s="1" t="s">
        <v>8</v>
      </c>
      <c r="D23" s="1">
        <v>48000</v>
      </c>
      <c r="E23" s="2">
        <v>43967</v>
      </c>
    </row>
    <row r="24" spans="1:5" x14ac:dyDescent="0.3">
      <c r="A24" s="1" t="s">
        <v>37</v>
      </c>
      <c r="B24" s="1" t="s">
        <v>237</v>
      </c>
      <c r="C24" s="1" t="s">
        <v>10</v>
      </c>
      <c r="D24" s="1">
        <v>75000</v>
      </c>
      <c r="E24" s="2">
        <v>43377</v>
      </c>
    </row>
    <row r="25" spans="1:5" x14ac:dyDescent="0.3">
      <c r="A25" s="1" t="s">
        <v>38</v>
      </c>
      <c r="B25" s="1" t="s">
        <v>238</v>
      </c>
      <c r="C25" s="1" t="s">
        <v>12</v>
      </c>
      <c r="D25" s="1">
        <v>61000</v>
      </c>
      <c r="E25" s="2">
        <v>44247</v>
      </c>
    </row>
    <row r="26" spans="1:5" x14ac:dyDescent="0.3">
      <c r="A26" s="1" t="s">
        <v>39</v>
      </c>
      <c r="B26" s="1" t="s">
        <v>239</v>
      </c>
      <c r="C26" s="1" t="s">
        <v>14</v>
      </c>
      <c r="D26" s="1">
        <v>69000</v>
      </c>
      <c r="E26" s="2">
        <v>42976</v>
      </c>
    </row>
    <row r="27" spans="1:5" x14ac:dyDescent="0.3">
      <c r="A27" s="1" t="s">
        <v>40</v>
      </c>
      <c r="B27" s="1" t="s">
        <v>240</v>
      </c>
      <c r="C27" s="1" t="s">
        <v>16</v>
      </c>
      <c r="D27" s="1">
        <v>72000</v>
      </c>
      <c r="E27" s="2">
        <v>44725</v>
      </c>
    </row>
    <row r="28" spans="1:5" x14ac:dyDescent="0.3">
      <c r="A28" s="1" t="s">
        <v>41</v>
      </c>
      <c r="B28" s="1" t="s">
        <v>241</v>
      </c>
      <c r="C28" s="1" t="s">
        <v>18</v>
      </c>
      <c r="D28" s="1">
        <v>50000</v>
      </c>
      <c r="E28" s="2">
        <v>43776</v>
      </c>
    </row>
    <row r="29" spans="1:5" x14ac:dyDescent="0.3">
      <c r="A29" s="1" t="s">
        <v>42</v>
      </c>
      <c r="B29" s="1" t="s">
        <v>242</v>
      </c>
      <c r="C29" s="1" t="s">
        <v>20</v>
      </c>
      <c r="D29" s="1">
        <v>66000</v>
      </c>
      <c r="E29" s="2">
        <v>43908</v>
      </c>
    </row>
    <row r="30" spans="1:5" x14ac:dyDescent="0.3">
      <c r="A30" s="1" t="s">
        <v>43</v>
      </c>
      <c r="B30" s="1" t="s">
        <v>243</v>
      </c>
      <c r="C30" s="1" t="s">
        <v>22</v>
      </c>
      <c r="D30" s="1">
        <v>58000</v>
      </c>
      <c r="E30" s="2">
        <v>42638</v>
      </c>
    </row>
    <row r="31" spans="1:5" x14ac:dyDescent="0.3">
      <c r="A31" s="1" t="s">
        <v>44</v>
      </c>
      <c r="B31" s="1" t="s">
        <v>244</v>
      </c>
      <c r="C31" s="1" t="s">
        <v>24</v>
      </c>
      <c r="D31" s="1">
        <v>45000</v>
      </c>
      <c r="E31" s="2">
        <v>42108</v>
      </c>
    </row>
    <row r="32" spans="1:5" x14ac:dyDescent="0.3">
      <c r="A32" s="1" t="s">
        <v>45</v>
      </c>
      <c r="B32" s="1" t="s">
        <v>245</v>
      </c>
      <c r="C32" s="1" t="s">
        <v>6</v>
      </c>
      <c r="D32" s="1">
        <v>80000</v>
      </c>
      <c r="E32" s="2">
        <v>43272</v>
      </c>
    </row>
    <row r="33" spans="1:5" x14ac:dyDescent="0.3">
      <c r="A33" s="1" t="s">
        <v>46</v>
      </c>
      <c r="B33" s="1" t="s">
        <v>246</v>
      </c>
      <c r="C33" s="1" t="s">
        <v>8</v>
      </c>
      <c r="D33" s="1">
        <v>54000</v>
      </c>
      <c r="E33" s="2">
        <v>43038</v>
      </c>
    </row>
    <row r="34" spans="1:5" x14ac:dyDescent="0.3">
      <c r="A34" s="1" t="s">
        <v>47</v>
      </c>
      <c r="B34" s="1" t="s">
        <v>247</v>
      </c>
      <c r="C34" s="1" t="s">
        <v>10</v>
      </c>
      <c r="D34" s="1">
        <v>47000</v>
      </c>
      <c r="E34" s="2">
        <v>44542</v>
      </c>
    </row>
    <row r="35" spans="1:5" x14ac:dyDescent="0.3">
      <c r="A35" s="1" t="s">
        <v>48</v>
      </c>
      <c r="B35" s="1" t="s">
        <v>248</v>
      </c>
      <c r="C35" s="1" t="s">
        <v>12</v>
      </c>
      <c r="D35" s="1">
        <v>90000</v>
      </c>
      <c r="E35" s="2">
        <v>42408</v>
      </c>
    </row>
    <row r="36" spans="1:5" x14ac:dyDescent="0.3">
      <c r="A36" s="1" t="s">
        <v>49</v>
      </c>
      <c r="B36" s="1" t="s">
        <v>249</v>
      </c>
      <c r="C36" s="1" t="s">
        <v>14</v>
      </c>
      <c r="D36" s="1">
        <v>62000</v>
      </c>
      <c r="E36" s="2">
        <v>43588</v>
      </c>
    </row>
    <row r="37" spans="1:5" x14ac:dyDescent="0.3">
      <c r="A37" s="1" t="s">
        <v>50</v>
      </c>
      <c r="B37" s="1" t="s">
        <v>250</v>
      </c>
      <c r="C37" s="1" t="s">
        <v>16</v>
      </c>
      <c r="D37" s="1">
        <v>73000</v>
      </c>
      <c r="E37" s="2">
        <v>44070</v>
      </c>
    </row>
    <row r="38" spans="1:5" x14ac:dyDescent="0.3">
      <c r="A38" s="1" t="s">
        <v>51</v>
      </c>
      <c r="B38" s="1" t="s">
        <v>251</v>
      </c>
      <c r="C38" s="1" t="s">
        <v>18</v>
      </c>
      <c r="D38" s="1">
        <v>56000</v>
      </c>
      <c r="E38" s="2">
        <v>42324</v>
      </c>
    </row>
    <row r="39" spans="1:5" x14ac:dyDescent="0.3">
      <c r="A39" s="1" t="s">
        <v>52</v>
      </c>
      <c r="B39" s="1" t="s">
        <v>252</v>
      </c>
      <c r="C39" s="1" t="s">
        <v>20</v>
      </c>
      <c r="D39" s="1">
        <v>67000</v>
      </c>
      <c r="E39" s="2">
        <v>43105</v>
      </c>
    </row>
    <row r="40" spans="1:5" x14ac:dyDescent="0.3">
      <c r="A40" s="1" t="s">
        <v>53</v>
      </c>
      <c r="B40" s="1" t="s">
        <v>253</v>
      </c>
      <c r="C40" s="1" t="s">
        <v>22</v>
      </c>
      <c r="D40" s="1">
        <v>71000</v>
      </c>
      <c r="E40" s="2">
        <v>44673</v>
      </c>
    </row>
    <row r="41" spans="1:5" x14ac:dyDescent="0.3">
      <c r="A41" s="1" t="s">
        <v>54</v>
      </c>
      <c r="B41" s="1" t="s">
        <v>254</v>
      </c>
      <c r="C41" s="1" t="s">
        <v>24</v>
      </c>
      <c r="D41" s="1">
        <v>64000</v>
      </c>
      <c r="E41" s="2">
        <v>42803</v>
      </c>
    </row>
    <row r="42" spans="1:5" x14ac:dyDescent="0.3">
      <c r="A42" s="1" t="s">
        <v>55</v>
      </c>
      <c r="B42" s="1" t="s">
        <v>255</v>
      </c>
      <c r="C42" s="1" t="s">
        <v>6</v>
      </c>
      <c r="D42" s="1">
        <v>52000</v>
      </c>
      <c r="E42" s="2">
        <v>43674</v>
      </c>
    </row>
    <row r="43" spans="1:5" x14ac:dyDescent="0.3">
      <c r="A43" s="1" t="s">
        <v>56</v>
      </c>
      <c r="B43" s="1" t="s">
        <v>256</v>
      </c>
      <c r="C43" s="1" t="s">
        <v>8</v>
      </c>
      <c r="D43" s="1">
        <v>48000</v>
      </c>
      <c r="E43" s="2">
        <v>44141</v>
      </c>
    </row>
    <row r="44" spans="1:5" x14ac:dyDescent="0.3">
      <c r="A44" s="1" t="s">
        <v>57</v>
      </c>
      <c r="B44" s="1" t="s">
        <v>257</v>
      </c>
      <c r="C44" s="1" t="s">
        <v>10</v>
      </c>
      <c r="D44" s="1">
        <v>75000</v>
      </c>
      <c r="E44" s="2">
        <v>43237</v>
      </c>
    </row>
    <row r="45" spans="1:5" x14ac:dyDescent="0.3">
      <c r="A45" s="1" t="s">
        <v>58</v>
      </c>
      <c r="B45" s="1" t="s">
        <v>258</v>
      </c>
      <c r="C45" s="1" t="s">
        <v>12</v>
      </c>
      <c r="D45" s="1">
        <v>61000</v>
      </c>
      <c r="E45" s="2">
        <v>44440</v>
      </c>
    </row>
    <row r="46" spans="1:5" x14ac:dyDescent="0.3">
      <c r="A46" s="1" t="s">
        <v>59</v>
      </c>
      <c r="B46" s="1" t="s">
        <v>259</v>
      </c>
      <c r="C46" s="1" t="s">
        <v>14</v>
      </c>
      <c r="D46" s="1">
        <v>69000</v>
      </c>
      <c r="E46" s="2">
        <v>42779</v>
      </c>
    </row>
    <row r="47" spans="1:5" x14ac:dyDescent="0.3">
      <c r="A47" s="1" t="s">
        <v>60</v>
      </c>
      <c r="B47" s="1" t="s">
        <v>260</v>
      </c>
      <c r="C47" s="1" t="s">
        <v>16</v>
      </c>
      <c r="D47" s="1">
        <v>72000</v>
      </c>
      <c r="E47" s="2">
        <v>44914</v>
      </c>
    </row>
    <row r="48" spans="1:5" x14ac:dyDescent="0.3">
      <c r="A48" s="1" t="s">
        <v>61</v>
      </c>
      <c r="B48" s="1" t="s">
        <v>261</v>
      </c>
      <c r="C48" s="1" t="s">
        <v>18</v>
      </c>
      <c r="D48" s="1">
        <v>50000</v>
      </c>
      <c r="E48" s="2">
        <v>43701</v>
      </c>
    </row>
    <row r="49" spans="1:5" x14ac:dyDescent="0.3">
      <c r="A49" s="1" t="s">
        <v>62</v>
      </c>
      <c r="B49" s="1" t="s">
        <v>262</v>
      </c>
      <c r="C49" s="1" t="s">
        <v>20</v>
      </c>
      <c r="D49" s="1">
        <v>66000</v>
      </c>
      <c r="E49" s="2">
        <v>43837</v>
      </c>
    </row>
    <row r="50" spans="1:5" x14ac:dyDescent="0.3">
      <c r="A50" s="1" t="s">
        <v>63</v>
      </c>
      <c r="B50" s="1" t="s">
        <v>263</v>
      </c>
      <c r="C50" s="1" t="s">
        <v>22</v>
      </c>
      <c r="D50" s="1">
        <v>58000</v>
      </c>
      <c r="E50" s="2">
        <v>42523</v>
      </c>
    </row>
    <row r="51" spans="1:5" x14ac:dyDescent="0.3">
      <c r="A51" s="1" t="s">
        <v>64</v>
      </c>
      <c r="B51" s="1" t="s">
        <v>264</v>
      </c>
      <c r="C51" s="1" t="s">
        <v>24</v>
      </c>
      <c r="D51" s="1">
        <v>45000</v>
      </c>
      <c r="E51" s="2">
        <v>42308</v>
      </c>
    </row>
    <row r="52" spans="1:5" x14ac:dyDescent="0.3">
      <c r="A52" s="1" t="s">
        <v>65</v>
      </c>
      <c r="B52" s="1" t="s">
        <v>265</v>
      </c>
      <c r="C52" s="1" t="s">
        <v>6</v>
      </c>
      <c r="D52" s="1">
        <v>80000</v>
      </c>
      <c r="E52" s="2">
        <v>43354</v>
      </c>
    </row>
    <row r="53" spans="1:5" x14ac:dyDescent="0.3">
      <c r="A53" s="1" t="s">
        <v>66</v>
      </c>
      <c r="B53" s="1" t="s">
        <v>266</v>
      </c>
      <c r="C53" s="1" t="s">
        <v>8</v>
      </c>
      <c r="D53" s="1">
        <v>54000</v>
      </c>
      <c r="E53" s="2">
        <v>42757</v>
      </c>
    </row>
    <row r="54" spans="1:5" x14ac:dyDescent="0.3">
      <c r="A54" s="1" t="s">
        <v>67</v>
      </c>
      <c r="B54" s="1" t="s">
        <v>267</v>
      </c>
      <c r="C54" s="1" t="s">
        <v>10</v>
      </c>
      <c r="D54" s="1">
        <v>47000</v>
      </c>
      <c r="E54" s="2">
        <v>44269</v>
      </c>
    </row>
    <row r="55" spans="1:5" x14ac:dyDescent="0.3">
      <c r="A55" s="1" t="s">
        <v>68</v>
      </c>
      <c r="B55" s="1" t="s">
        <v>268</v>
      </c>
      <c r="C55" s="1" t="s">
        <v>12</v>
      </c>
      <c r="D55" s="1">
        <v>90000</v>
      </c>
      <c r="E55" s="2">
        <v>42556</v>
      </c>
    </row>
    <row r="56" spans="1:5" x14ac:dyDescent="0.3">
      <c r="A56" s="1" t="s">
        <v>69</v>
      </c>
      <c r="B56" s="1" t="s">
        <v>269</v>
      </c>
      <c r="C56" s="1" t="s">
        <v>14</v>
      </c>
      <c r="D56" s="1">
        <v>62000</v>
      </c>
      <c r="E56" s="2">
        <v>43764</v>
      </c>
    </row>
    <row r="57" spans="1:5" x14ac:dyDescent="0.3">
      <c r="A57" s="1" t="s">
        <v>70</v>
      </c>
      <c r="B57" s="1" t="s">
        <v>270</v>
      </c>
      <c r="C57" s="1" t="s">
        <v>16</v>
      </c>
      <c r="D57" s="1">
        <v>73000</v>
      </c>
      <c r="E57" s="2">
        <v>43863</v>
      </c>
    </row>
    <row r="58" spans="1:5" x14ac:dyDescent="0.3">
      <c r="A58" s="1" t="s">
        <v>71</v>
      </c>
      <c r="B58" s="1" t="s">
        <v>271</v>
      </c>
      <c r="C58" s="1" t="s">
        <v>18</v>
      </c>
      <c r="D58" s="1">
        <v>56000</v>
      </c>
      <c r="E58" s="2">
        <v>42173</v>
      </c>
    </row>
    <row r="59" spans="1:5" x14ac:dyDescent="0.3">
      <c r="A59" s="1" t="s">
        <v>72</v>
      </c>
      <c r="B59" s="1" t="s">
        <v>272</v>
      </c>
      <c r="C59" s="1" t="s">
        <v>20</v>
      </c>
      <c r="D59" s="1">
        <v>67000</v>
      </c>
      <c r="E59" s="2">
        <v>43443</v>
      </c>
    </row>
    <row r="60" spans="1:5" x14ac:dyDescent="0.3">
      <c r="A60" s="1" t="s">
        <v>73</v>
      </c>
      <c r="B60" s="1" t="s">
        <v>273</v>
      </c>
      <c r="C60" s="1" t="s">
        <v>22</v>
      </c>
      <c r="D60" s="1">
        <v>71000</v>
      </c>
      <c r="E60" s="2">
        <v>44581</v>
      </c>
    </row>
    <row r="61" spans="1:5" x14ac:dyDescent="0.3">
      <c r="A61" s="1" t="s">
        <v>74</v>
      </c>
      <c r="B61" s="1" t="s">
        <v>274</v>
      </c>
      <c r="C61" s="1" t="s">
        <v>24</v>
      </c>
      <c r="D61" s="1">
        <v>64000</v>
      </c>
      <c r="E61" s="2">
        <v>43068</v>
      </c>
    </row>
    <row r="62" spans="1:5" x14ac:dyDescent="0.3">
      <c r="A62" s="1" t="s">
        <v>75</v>
      </c>
      <c r="B62" s="1" t="s">
        <v>275</v>
      </c>
      <c r="C62" s="1" t="s">
        <v>6</v>
      </c>
      <c r="D62" s="1">
        <v>52000</v>
      </c>
      <c r="E62" s="2">
        <v>43502</v>
      </c>
    </row>
    <row r="63" spans="1:5" x14ac:dyDescent="0.3">
      <c r="A63" s="1" t="s">
        <v>76</v>
      </c>
      <c r="B63" s="1" t="s">
        <v>276</v>
      </c>
      <c r="C63" s="1" t="s">
        <v>8</v>
      </c>
      <c r="D63" s="1">
        <v>48000</v>
      </c>
      <c r="E63" s="2">
        <v>43997</v>
      </c>
    </row>
    <row r="64" spans="1:5" x14ac:dyDescent="0.3">
      <c r="A64" s="1" t="s">
        <v>77</v>
      </c>
      <c r="B64" s="1" t="s">
        <v>277</v>
      </c>
      <c r="C64" s="1" t="s">
        <v>10</v>
      </c>
      <c r="D64" s="1">
        <v>75000</v>
      </c>
      <c r="E64" s="2">
        <v>43335</v>
      </c>
    </row>
    <row r="65" spans="1:5" x14ac:dyDescent="0.3">
      <c r="A65" s="1" t="s">
        <v>78</v>
      </c>
      <c r="B65" s="1" t="s">
        <v>278</v>
      </c>
      <c r="C65" s="1" t="s">
        <v>12</v>
      </c>
      <c r="D65" s="1">
        <v>61000</v>
      </c>
      <c r="E65" s="2">
        <v>44296</v>
      </c>
    </row>
    <row r="66" spans="1:5" x14ac:dyDescent="0.3">
      <c r="A66" s="1" t="s">
        <v>79</v>
      </c>
      <c r="B66" s="1" t="s">
        <v>279</v>
      </c>
      <c r="C66" s="1" t="s">
        <v>14</v>
      </c>
      <c r="D66" s="1">
        <v>69000</v>
      </c>
      <c r="E66" s="2">
        <v>43070</v>
      </c>
    </row>
    <row r="67" spans="1:5" x14ac:dyDescent="0.3">
      <c r="A67" s="1" t="s">
        <v>80</v>
      </c>
      <c r="B67" s="1" t="s">
        <v>280</v>
      </c>
      <c r="C67" s="1" t="s">
        <v>16</v>
      </c>
      <c r="D67" s="1">
        <v>72000</v>
      </c>
      <c r="E67" s="2">
        <v>44688</v>
      </c>
    </row>
    <row r="68" spans="1:5" x14ac:dyDescent="0.3">
      <c r="A68" s="1" t="s">
        <v>81</v>
      </c>
      <c r="B68" s="1" t="s">
        <v>281</v>
      </c>
      <c r="C68" s="1" t="s">
        <v>18</v>
      </c>
      <c r="D68" s="1">
        <v>50000</v>
      </c>
      <c r="E68" s="2">
        <v>43751</v>
      </c>
    </row>
    <row r="69" spans="1:5" x14ac:dyDescent="0.3">
      <c r="A69" s="1" t="s">
        <v>82</v>
      </c>
      <c r="B69" s="1" t="s">
        <v>282</v>
      </c>
      <c r="C69" s="1" t="s">
        <v>20</v>
      </c>
      <c r="D69" s="1">
        <v>66000</v>
      </c>
      <c r="E69" s="2">
        <v>44076</v>
      </c>
    </row>
    <row r="70" spans="1:5" x14ac:dyDescent="0.3">
      <c r="A70" s="1" t="s">
        <v>83</v>
      </c>
      <c r="B70" s="1" t="s">
        <v>283</v>
      </c>
      <c r="C70" s="1" t="s">
        <v>22</v>
      </c>
      <c r="D70" s="1">
        <v>58000</v>
      </c>
      <c r="E70" s="2">
        <v>42450</v>
      </c>
    </row>
    <row r="71" spans="1:5" x14ac:dyDescent="0.3">
      <c r="A71" s="1" t="s">
        <v>84</v>
      </c>
      <c r="B71" s="1" t="s">
        <v>284</v>
      </c>
      <c r="C71" s="1" t="s">
        <v>24</v>
      </c>
      <c r="D71" s="1">
        <v>45000</v>
      </c>
      <c r="E71" s="2">
        <v>42232</v>
      </c>
    </row>
    <row r="72" spans="1:5" x14ac:dyDescent="0.3">
      <c r="A72" s="1" t="s">
        <v>85</v>
      </c>
      <c r="B72" s="1" t="s">
        <v>285</v>
      </c>
      <c r="C72" s="1" t="s">
        <v>6</v>
      </c>
      <c r="D72" s="1">
        <v>80000</v>
      </c>
      <c r="E72" s="2">
        <v>43159</v>
      </c>
    </row>
    <row r="73" spans="1:5" x14ac:dyDescent="0.3">
      <c r="A73" s="1" t="s">
        <v>86</v>
      </c>
      <c r="B73" s="1" t="s">
        <v>286</v>
      </c>
      <c r="C73" s="1" t="s">
        <v>8</v>
      </c>
      <c r="D73" s="1">
        <v>54000</v>
      </c>
      <c r="E73" s="2">
        <v>42834</v>
      </c>
    </row>
    <row r="74" spans="1:5" x14ac:dyDescent="0.3">
      <c r="A74" s="1" t="s">
        <v>87</v>
      </c>
      <c r="B74" s="1" t="s">
        <v>287</v>
      </c>
      <c r="C74" s="1" t="s">
        <v>10</v>
      </c>
      <c r="D74" s="1">
        <v>47000</v>
      </c>
      <c r="E74" s="2">
        <v>44365</v>
      </c>
    </row>
    <row r="75" spans="1:5" x14ac:dyDescent="0.3">
      <c r="A75" s="1" t="s">
        <v>88</v>
      </c>
      <c r="B75" s="1" t="s">
        <v>288</v>
      </c>
      <c r="C75" s="1" t="s">
        <v>12</v>
      </c>
      <c r="D75" s="1">
        <v>90000</v>
      </c>
      <c r="E75" s="2">
        <v>42670</v>
      </c>
    </row>
    <row r="76" spans="1:5" x14ac:dyDescent="0.3">
      <c r="A76" s="1" t="s">
        <v>89</v>
      </c>
      <c r="B76" s="1" t="s">
        <v>289</v>
      </c>
      <c r="C76" s="1" t="s">
        <v>14</v>
      </c>
      <c r="D76" s="1">
        <v>62000</v>
      </c>
      <c r="E76" s="2">
        <v>43777</v>
      </c>
    </row>
    <row r="77" spans="1:5" x14ac:dyDescent="0.3">
      <c r="A77" s="1" t="s">
        <v>90</v>
      </c>
      <c r="B77" s="1" t="s">
        <v>290</v>
      </c>
      <c r="C77" s="1" t="s">
        <v>16</v>
      </c>
      <c r="D77" s="1">
        <v>73000</v>
      </c>
      <c r="E77" s="2">
        <v>43860</v>
      </c>
    </row>
    <row r="78" spans="1:5" x14ac:dyDescent="0.3">
      <c r="A78" s="1" t="s">
        <v>91</v>
      </c>
      <c r="B78" s="1" t="s">
        <v>291</v>
      </c>
      <c r="C78" s="1" t="s">
        <v>18</v>
      </c>
      <c r="D78" s="1">
        <v>56000</v>
      </c>
      <c r="E78" s="2">
        <v>42066</v>
      </c>
    </row>
    <row r="79" spans="1:5" x14ac:dyDescent="0.3">
      <c r="A79" s="1" t="s">
        <v>92</v>
      </c>
      <c r="B79" s="1" t="s">
        <v>292</v>
      </c>
      <c r="C79" s="1" t="s">
        <v>20</v>
      </c>
      <c r="D79" s="1">
        <v>67000</v>
      </c>
      <c r="E79" s="2">
        <v>43293</v>
      </c>
    </row>
    <row r="80" spans="1:5" x14ac:dyDescent="0.3">
      <c r="A80" s="1" t="s">
        <v>93</v>
      </c>
      <c r="B80" s="1" t="s">
        <v>293</v>
      </c>
      <c r="C80" s="1" t="s">
        <v>22</v>
      </c>
      <c r="D80" s="1">
        <v>71000</v>
      </c>
      <c r="E80" s="2">
        <v>44798</v>
      </c>
    </row>
    <row r="81" spans="1:5" x14ac:dyDescent="0.3">
      <c r="A81" s="1" t="s">
        <v>94</v>
      </c>
      <c r="B81" s="1" t="s">
        <v>294</v>
      </c>
      <c r="C81" s="1" t="s">
        <v>24</v>
      </c>
      <c r="D81" s="1">
        <v>64000</v>
      </c>
      <c r="E81" s="2">
        <v>42992</v>
      </c>
    </row>
    <row r="82" spans="1:5" x14ac:dyDescent="0.3">
      <c r="A82" s="1" t="s">
        <v>95</v>
      </c>
      <c r="B82" s="1" t="s">
        <v>295</v>
      </c>
      <c r="C82" s="1" t="s">
        <v>6</v>
      </c>
      <c r="D82" s="1">
        <v>52000</v>
      </c>
      <c r="E82" s="2">
        <v>43590</v>
      </c>
    </row>
    <row r="83" spans="1:5" x14ac:dyDescent="0.3">
      <c r="A83" s="1" t="s">
        <v>96</v>
      </c>
      <c r="B83" s="1" t="s">
        <v>296</v>
      </c>
      <c r="C83" s="1" t="s">
        <v>8</v>
      </c>
      <c r="D83" s="1">
        <v>48000</v>
      </c>
      <c r="E83" s="2">
        <v>43913</v>
      </c>
    </row>
    <row r="84" spans="1:5" x14ac:dyDescent="0.3">
      <c r="A84" s="1" t="s">
        <v>97</v>
      </c>
      <c r="B84" s="1" t="s">
        <v>297</v>
      </c>
      <c r="C84" s="1" t="s">
        <v>10</v>
      </c>
      <c r="D84" s="1">
        <v>75000</v>
      </c>
      <c r="E84" s="2">
        <v>43130</v>
      </c>
    </row>
    <row r="85" spans="1:5" x14ac:dyDescent="0.3">
      <c r="A85" s="1" t="s">
        <v>98</v>
      </c>
      <c r="B85" s="1" t="s">
        <v>298</v>
      </c>
      <c r="C85" s="1" t="s">
        <v>12</v>
      </c>
      <c r="D85" s="1">
        <v>61000</v>
      </c>
      <c r="E85" s="2">
        <v>44396</v>
      </c>
    </row>
    <row r="86" spans="1:5" x14ac:dyDescent="0.3">
      <c r="A86" s="1" t="s">
        <v>99</v>
      </c>
      <c r="B86" s="1" t="s">
        <v>299</v>
      </c>
      <c r="C86" s="1" t="s">
        <v>14</v>
      </c>
      <c r="D86" s="1">
        <v>69000</v>
      </c>
      <c r="E86" s="2">
        <v>42741</v>
      </c>
    </row>
    <row r="87" spans="1:5" x14ac:dyDescent="0.3">
      <c r="A87" s="1" t="s">
        <v>100</v>
      </c>
      <c r="B87" s="1" t="s">
        <v>300</v>
      </c>
      <c r="C87" s="1" t="s">
        <v>16</v>
      </c>
      <c r="D87" s="1">
        <v>72000</v>
      </c>
      <c r="E87" s="2">
        <v>44845</v>
      </c>
    </row>
    <row r="88" spans="1:5" x14ac:dyDescent="0.3">
      <c r="A88" s="1" t="s">
        <v>101</v>
      </c>
      <c r="B88" s="1" t="s">
        <v>301</v>
      </c>
      <c r="C88" s="1" t="s">
        <v>18</v>
      </c>
      <c r="D88" s="1">
        <v>50000</v>
      </c>
      <c r="E88" s="2">
        <v>43579</v>
      </c>
    </row>
    <row r="89" spans="1:5" x14ac:dyDescent="0.3">
      <c r="A89" s="1" t="s">
        <v>102</v>
      </c>
      <c r="B89" s="1" t="s">
        <v>302</v>
      </c>
      <c r="C89" s="1" t="s">
        <v>20</v>
      </c>
      <c r="D89" s="1">
        <v>66000</v>
      </c>
      <c r="E89" s="2">
        <v>44168</v>
      </c>
    </row>
    <row r="90" spans="1:5" x14ac:dyDescent="0.3">
      <c r="A90" s="1" t="s">
        <v>103</v>
      </c>
      <c r="B90" s="1" t="s">
        <v>303</v>
      </c>
      <c r="C90" s="1" t="s">
        <v>22</v>
      </c>
      <c r="D90" s="1">
        <v>58000</v>
      </c>
      <c r="E90" s="2">
        <v>42687</v>
      </c>
    </row>
    <row r="91" spans="1:5" x14ac:dyDescent="0.3">
      <c r="A91" s="1" t="s">
        <v>104</v>
      </c>
      <c r="B91" s="1" t="s">
        <v>304</v>
      </c>
      <c r="C91" s="1" t="s">
        <v>24</v>
      </c>
      <c r="D91" s="1">
        <v>45000</v>
      </c>
      <c r="E91" s="2">
        <v>42036</v>
      </c>
    </row>
    <row r="92" spans="1:5" x14ac:dyDescent="0.3">
      <c r="A92" s="1" t="s">
        <v>105</v>
      </c>
      <c r="B92" s="1" t="s">
        <v>305</v>
      </c>
      <c r="C92" s="1" t="s">
        <v>6</v>
      </c>
      <c r="D92" s="1">
        <v>80000</v>
      </c>
      <c r="E92" s="2">
        <v>43175</v>
      </c>
    </row>
    <row r="93" spans="1:5" x14ac:dyDescent="0.3">
      <c r="A93" s="1" t="s">
        <v>106</v>
      </c>
      <c r="B93" s="1" t="s">
        <v>306</v>
      </c>
      <c r="C93" s="1" t="s">
        <v>8</v>
      </c>
      <c r="D93" s="1">
        <v>54000</v>
      </c>
      <c r="E93" s="2">
        <v>42952</v>
      </c>
    </row>
    <row r="94" spans="1:5" x14ac:dyDescent="0.3">
      <c r="A94" s="1" t="s">
        <v>107</v>
      </c>
      <c r="B94" s="1" t="s">
        <v>307</v>
      </c>
      <c r="C94" s="1" t="s">
        <v>10</v>
      </c>
      <c r="D94" s="1">
        <v>47000</v>
      </c>
      <c r="E94" s="2">
        <v>44467</v>
      </c>
    </row>
    <row r="95" spans="1:5" x14ac:dyDescent="0.3">
      <c r="A95" s="1" t="s">
        <v>108</v>
      </c>
      <c r="B95" s="1" t="s">
        <v>308</v>
      </c>
      <c r="C95" s="1" t="s">
        <v>12</v>
      </c>
      <c r="D95" s="1">
        <v>90000</v>
      </c>
      <c r="E95" s="2">
        <v>42502</v>
      </c>
    </row>
    <row r="96" spans="1:5" x14ac:dyDescent="0.3">
      <c r="A96" s="1" t="s">
        <v>109</v>
      </c>
      <c r="B96" s="1" t="s">
        <v>309</v>
      </c>
      <c r="C96" s="1" t="s">
        <v>14</v>
      </c>
      <c r="D96" s="1">
        <v>62000</v>
      </c>
      <c r="E96" s="2">
        <v>43820</v>
      </c>
    </row>
    <row r="97" spans="1:5" x14ac:dyDescent="0.3">
      <c r="A97" s="1" t="s">
        <v>110</v>
      </c>
      <c r="B97" s="1" t="s">
        <v>310</v>
      </c>
      <c r="C97" s="1" t="s">
        <v>16</v>
      </c>
      <c r="D97" s="1">
        <v>73000</v>
      </c>
      <c r="E97" s="2">
        <v>43927</v>
      </c>
    </row>
    <row r="98" spans="1:5" x14ac:dyDescent="0.3">
      <c r="A98" s="1" t="s">
        <v>111</v>
      </c>
      <c r="B98" s="1" t="s">
        <v>311</v>
      </c>
      <c r="C98" s="1" t="s">
        <v>18</v>
      </c>
      <c r="D98" s="1">
        <v>56000</v>
      </c>
      <c r="E98" s="2">
        <v>42210</v>
      </c>
    </row>
    <row r="99" spans="1:5" x14ac:dyDescent="0.3">
      <c r="A99" s="1" t="s">
        <v>112</v>
      </c>
      <c r="B99" s="1" t="s">
        <v>312</v>
      </c>
      <c r="C99" s="1" t="s">
        <v>20</v>
      </c>
      <c r="D99" s="1">
        <v>67000</v>
      </c>
      <c r="E99" s="2">
        <v>43373</v>
      </c>
    </row>
    <row r="100" spans="1:5" x14ac:dyDescent="0.3">
      <c r="A100" s="1" t="s">
        <v>113</v>
      </c>
      <c r="B100" s="1" t="s">
        <v>313</v>
      </c>
      <c r="C100" s="1" t="s">
        <v>22</v>
      </c>
      <c r="D100" s="1">
        <v>71000</v>
      </c>
      <c r="E100" s="2">
        <v>44606</v>
      </c>
    </row>
    <row r="101" spans="1:5" x14ac:dyDescent="0.3">
      <c r="A101" s="1" t="s">
        <v>114</v>
      </c>
      <c r="B101" s="1" t="s">
        <v>314</v>
      </c>
      <c r="C101" s="1" t="s">
        <v>24</v>
      </c>
      <c r="D101" s="1">
        <v>64000</v>
      </c>
      <c r="E101" s="2">
        <v>42887</v>
      </c>
    </row>
    <row r="102" spans="1:5" x14ac:dyDescent="0.3">
      <c r="A102" s="1" t="s">
        <v>115</v>
      </c>
      <c r="B102" s="1" t="s">
        <v>315</v>
      </c>
      <c r="C102" s="1" t="s">
        <v>6</v>
      </c>
      <c r="D102" s="1">
        <v>52000</v>
      </c>
      <c r="E102" s="2">
        <v>43717</v>
      </c>
    </row>
    <row r="103" spans="1:5" x14ac:dyDescent="0.3">
      <c r="A103" s="1" t="s">
        <v>116</v>
      </c>
      <c r="B103" s="1" t="s">
        <v>316</v>
      </c>
      <c r="C103" s="1" t="s">
        <v>8</v>
      </c>
      <c r="D103" s="1">
        <v>48000</v>
      </c>
      <c r="E103" s="2">
        <v>43848</v>
      </c>
    </row>
    <row r="104" spans="1:5" x14ac:dyDescent="0.3">
      <c r="A104" s="1" t="s">
        <v>117</v>
      </c>
      <c r="B104" s="1" t="s">
        <v>317</v>
      </c>
      <c r="C104" s="1" t="s">
        <v>10</v>
      </c>
      <c r="D104" s="1">
        <v>75000</v>
      </c>
      <c r="E104" s="2">
        <v>43258</v>
      </c>
    </row>
    <row r="105" spans="1:5" x14ac:dyDescent="0.3">
      <c r="A105" s="1" t="s">
        <v>118</v>
      </c>
      <c r="B105" s="1" t="s">
        <v>318</v>
      </c>
      <c r="C105" s="1" t="s">
        <v>12</v>
      </c>
      <c r="D105" s="1">
        <v>61000</v>
      </c>
      <c r="E105" s="2">
        <v>44280</v>
      </c>
    </row>
    <row r="106" spans="1:5" x14ac:dyDescent="0.3">
      <c r="A106" s="1" t="s">
        <v>119</v>
      </c>
      <c r="B106" s="1" t="s">
        <v>319</v>
      </c>
      <c r="C106" s="1" t="s">
        <v>14</v>
      </c>
      <c r="D106" s="1">
        <v>69000</v>
      </c>
      <c r="E106" s="2">
        <v>43010</v>
      </c>
    </row>
    <row r="107" spans="1:5" x14ac:dyDescent="0.3">
      <c r="A107" s="1" t="s">
        <v>120</v>
      </c>
      <c r="B107" s="1" t="s">
        <v>320</v>
      </c>
      <c r="C107" s="1" t="s">
        <v>16</v>
      </c>
      <c r="D107" s="1">
        <v>72000</v>
      </c>
      <c r="E107" s="2">
        <v>44758</v>
      </c>
    </row>
    <row r="108" spans="1:5" x14ac:dyDescent="0.3">
      <c r="A108" s="1" t="s">
        <v>121</v>
      </c>
      <c r="B108" s="1" t="s">
        <v>321</v>
      </c>
      <c r="C108" s="1" t="s">
        <v>18</v>
      </c>
      <c r="D108" s="1">
        <v>50000</v>
      </c>
      <c r="E108" s="2">
        <v>43523</v>
      </c>
    </row>
    <row r="109" spans="1:5" x14ac:dyDescent="0.3">
      <c r="A109" s="1" t="s">
        <v>122</v>
      </c>
      <c r="B109" s="1" t="s">
        <v>322</v>
      </c>
      <c r="C109" s="1" t="s">
        <v>20</v>
      </c>
      <c r="D109" s="1">
        <v>66000</v>
      </c>
      <c r="E109" s="2">
        <v>43955</v>
      </c>
    </row>
    <row r="110" spans="1:5" x14ac:dyDescent="0.3">
      <c r="A110" s="1" t="s">
        <v>123</v>
      </c>
      <c r="B110" s="1" t="s">
        <v>323</v>
      </c>
      <c r="C110" s="1" t="s">
        <v>22</v>
      </c>
      <c r="D110" s="1">
        <v>58000</v>
      </c>
      <c r="E110" s="2">
        <v>42380</v>
      </c>
    </row>
    <row r="111" spans="1:5" x14ac:dyDescent="0.3">
      <c r="A111" s="1" t="s">
        <v>124</v>
      </c>
      <c r="B111" s="1" t="s">
        <v>324</v>
      </c>
      <c r="C111" s="1" t="s">
        <v>24</v>
      </c>
      <c r="D111" s="1">
        <v>45000</v>
      </c>
      <c r="E111" s="2">
        <v>42328</v>
      </c>
    </row>
    <row r="112" spans="1:5" x14ac:dyDescent="0.3">
      <c r="A112" s="1" t="s">
        <v>125</v>
      </c>
      <c r="B112" s="1" t="s">
        <v>325</v>
      </c>
      <c r="C112" s="1" t="s">
        <v>6</v>
      </c>
      <c r="D112" s="1">
        <v>80000</v>
      </c>
      <c r="E112" s="2">
        <v>43433</v>
      </c>
    </row>
    <row r="113" spans="1:5" x14ac:dyDescent="0.3">
      <c r="A113" s="1" t="s">
        <v>126</v>
      </c>
      <c r="B113" s="1" t="s">
        <v>326</v>
      </c>
      <c r="C113" s="1" t="s">
        <v>8</v>
      </c>
      <c r="D113" s="1">
        <v>54000</v>
      </c>
      <c r="E113" s="2">
        <v>42780</v>
      </c>
    </row>
    <row r="114" spans="1:5" x14ac:dyDescent="0.3">
      <c r="A114" s="1" t="s">
        <v>127</v>
      </c>
      <c r="B114" s="1" t="s">
        <v>327</v>
      </c>
      <c r="C114" s="1" t="s">
        <v>10</v>
      </c>
      <c r="D114" s="1">
        <v>47000</v>
      </c>
      <c r="E114" s="2">
        <v>44411</v>
      </c>
    </row>
    <row r="115" spans="1:5" x14ac:dyDescent="0.3">
      <c r="A115" s="1" t="s">
        <v>128</v>
      </c>
      <c r="B115" s="1" t="s">
        <v>328</v>
      </c>
      <c r="C115" s="1" t="s">
        <v>12</v>
      </c>
      <c r="D115" s="1">
        <v>90000</v>
      </c>
      <c r="E115" s="2">
        <v>42451</v>
      </c>
    </row>
    <row r="116" spans="1:5" x14ac:dyDescent="0.3">
      <c r="A116" s="1" t="s">
        <v>129</v>
      </c>
      <c r="B116" s="1" t="s">
        <v>329</v>
      </c>
      <c r="C116" s="1" t="s">
        <v>14</v>
      </c>
      <c r="D116" s="1">
        <v>62000</v>
      </c>
      <c r="E116" s="2">
        <v>43496</v>
      </c>
    </row>
    <row r="117" spans="1:5" x14ac:dyDescent="0.3">
      <c r="A117" s="1" t="s">
        <v>130</v>
      </c>
      <c r="B117" s="1" t="s">
        <v>330</v>
      </c>
      <c r="C117" s="1" t="s">
        <v>16</v>
      </c>
      <c r="D117" s="1">
        <v>73000</v>
      </c>
      <c r="E117" s="2">
        <v>44086</v>
      </c>
    </row>
    <row r="118" spans="1:5" x14ac:dyDescent="0.3">
      <c r="A118" s="1" t="s">
        <v>131</v>
      </c>
      <c r="B118" s="1" t="s">
        <v>331</v>
      </c>
      <c r="C118" s="1" t="s">
        <v>18</v>
      </c>
      <c r="D118" s="1">
        <v>56000</v>
      </c>
      <c r="E118" s="2">
        <v>42125</v>
      </c>
    </row>
    <row r="119" spans="1:5" x14ac:dyDescent="0.3">
      <c r="A119" s="1" t="s">
        <v>132</v>
      </c>
      <c r="B119" s="1" t="s">
        <v>332</v>
      </c>
      <c r="C119" s="1" t="s">
        <v>20</v>
      </c>
      <c r="D119" s="1">
        <v>67000</v>
      </c>
      <c r="E119" s="2">
        <v>43393</v>
      </c>
    </row>
    <row r="120" spans="1:5" x14ac:dyDescent="0.3">
      <c r="A120" s="1" t="s">
        <v>133</v>
      </c>
      <c r="B120" s="1" t="s">
        <v>333</v>
      </c>
      <c r="C120" s="1" t="s">
        <v>22</v>
      </c>
      <c r="D120" s="1">
        <v>71000</v>
      </c>
      <c r="E120" s="2">
        <v>44872</v>
      </c>
    </row>
    <row r="121" spans="1:5" x14ac:dyDescent="0.3">
      <c r="A121" s="1" t="s">
        <v>134</v>
      </c>
      <c r="B121" s="1" t="s">
        <v>334</v>
      </c>
      <c r="C121" s="1" t="s">
        <v>24</v>
      </c>
      <c r="D121" s="1">
        <v>64000</v>
      </c>
      <c r="E121" s="2">
        <v>42851</v>
      </c>
    </row>
    <row r="122" spans="1:5" x14ac:dyDescent="0.3">
      <c r="A122" s="1" t="s">
        <v>135</v>
      </c>
      <c r="B122" s="1" t="s">
        <v>335</v>
      </c>
      <c r="C122" s="1" t="s">
        <v>6</v>
      </c>
      <c r="D122" s="1">
        <v>52000</v>
      </c>
      <c r="E122" s="2">
        <v>43784</v>
      </c>
    </row>
    <row r="123" spans="1:5" x14ac:dyDescent="0.3">
      <c r="A123" s="1" t="s">
        <v>136</v>
      </c>
      <c r="B123" s="1" t="s">
        <v>336</v>
      </c>
      <c r="C123" s="1" t="s">
        <v>8</v>
      </c>
      <c r="D123" s="1">
        <v>48000</v>
      </c>
      <c r="E123" s="2">
        <v>44072</v>
      </c>
    </row>
    <row r="124" spans="1:5" x14ac:dyDescent="0.3">
      <c r="A124" s="1" t="s">
        <v>137</v>
      </c>
      <c r="B124" s="1" t="s">
        <v>337</v>
      </c>
      <c r="C124" s="1" t="s">
        <v>10</v>
      </c>
      <c r="D124" s="1">
        <v>75000</v>
      </c>
      <c r="E124" s="2">
        <v>43164</v>
      </c>
    </row>
    <row r="125" spans="1:5" x14ac:dyDescent="0.3">
      <c r="A125" s="1" t="s">
        <v>138</v>
      </c>
      <c r="B125" s="1" t="s">
        <v>338</v>
      </c>
      <c r="C125" s="1" t="s">
        <v>12</v>
      </c>
      <c r="D125" s="1">
        <v>61000</v>
      </c>
      <c r="E125" s="2">
        <v>44337</v>
      </c>
    </row>
    <row r="126" spans="1:5" x14ac:dyDescent="0.3">
      <c r="A126" s="1" t="s">
        <v>139</v>
      </c>
      <c r="B126" s="1" t="s">
        <v>339</v>
      </c>
      <c r="C126" s="1" t="s">
        <v>14</v>
      </c>
      <c r="D126" s="1">
        <v>69000</v>
      </c>
      <c r="E126" s="2">
        <v>42986</v>
      </c>
    </row>
    <row r="127" spans="1:5" x14ac:dyDescent="0.3">
      <c r="A127" s="1" t="s">
        <v>140</v>
      </c>
      <c r="B127" s="1" t="s">
        <v>340</v>
      </c>
      <c r="C127" s="1" t="s">
        <v>16</v>
      </c>
      <c r="D127" s="1">
        <v>72000</v>
      </c>
      <c r="E127" s="2">
        <v>44594</v>
      </c>
    </row>
    <row r="128" spans="1:5" x14ac:dyDescent="0.3">
      <c r="A128" s="1" t="s">
        <v>141</v>
      </c>
      <c r="B128" s="1" t="s">
        <v>341</v>
      </c>
      <c r="C128" s="1" t="s">
        <v>18</v>
      </c>
      <c r="D128" s="1">
        <v>50000</v>
      </c>
      <c r="E128" s="2">
        <v>43633</v>
      </c>
    </row>
    <row r="129" spans="1:5" x14ac:dyDescent="0.3">
      <c r="A129" s="1" t="s">
        <v>142</v>
      </c>
      <c r="B129" s="1" t="s">
        <v>342</v>
      </c>
      <c r="C129" s="1" t="s">
        <v>20</v>
      </c>
      <c r="D129" s="1">
        <v>66000</v>
      </c>
      <c r="E129" s="2">
        <v>44127</v>
      </c>
    </row>
    <row r="130" spans="1:5" x14ac:dyDescent="0.3">
      <c r="A130" s="1" t="s">
        <v>143</v>
      </c>
      <c r="B130" s="1" t="s">
        <v>343</v>
      </c>
      <c r="C130" s="1" t="s">
        <v>22</v>
      </c>
      <c r="D130" s="1">
        <v>58000</v>
      </c>
      <c r="E130" s="2">
        <v>42490</v>
      </c>
    </row>
    <row r="131" spans="1:5" x14ac:dyDescent="0.3">
      <c r="A131" s="1" t="s">
        <v>144</v>
      </c>
      <c r="B131" s="1" t="s">
        <v>344</v>
      </c>
      <c r="C131" s="1" t="s">
        <v>24</v>
      </c>
      <c r="D131" s="1">
        <v>45000</v>
      </c>
      <c r="E131" s="2">
        <v>42192</v>
      </c>
    </row>
    <row r="132" spans="1:5" x14ac:dyDescent="0.3">
      <c r="A132" s="1" t="s">
        <v>145</v>
      </c>
      <c r="B132" s="1" t="s">
        <v>345</v>
      </c>
      <c r="C132" s="1" t="s">
        <v>6</v>
      </c>
      <c r="D132" s="1">
        <v>80000</v>
      </c>
      <c r="E132" s="2">
        <v>43452</v>
      </c>
    </row>
    <row r="133" spans="1:5" x14ac:dyDescent="0.3">
      <c r="A133" s="1" t="s">
        <v>146</v>
      </c>
      <c r="B133" s="1" t="s">
        <v>346</v>
      </c>
      <c r="C133" s="1" t="s">
        <v>8</v>
      </c>
      <c r="D133" s="1">
        <v>54000</v>
      </c>
      <c r="E133" s="2">
        <v>43040</v>
      </c>
    </row>
    <row r="134" spans="1:5" x14ac:dyDescent="0.3">
      <c r="A134" s="1" t="s">
        <v>147</v>
      </c>
      <c r="B134" s="1" t="s">
        <v>347</v>
      </c>
      <c r="C134" s="1" t="s">
        <v>10</v>
      </c>
      <c r="D134" s="1">
        <v>47000</v>
      </c>
      <c r="E134" s="2">
        <v>44209</v>
      </c>
    </row>
    <row r="135" spans="1:5" x14ac:dyDescent="0.3">
      <c r="A135" s="1" t="s">
        <v>148</v>
      </c>
      <c r="B135" s="1" t="s">
        <v>348</v>
      </c>
      <c r="C135" s="1" t="s">
        <v>12</v>
      </c>
      <c r="D135" s="1">
        <v>90000</v>
      </c>
      <c r="E135" s="2">
        <v>42606</v>
      </c>
    </row>
    <row r="136" spans="1:5" x14ac:dyDescent="0.3">
      <c r="A136" s="1" t="s">
        <v>149</v>
      </c>
      <c r="B136" s="1" t="s">
        <v>349</v>
      </c>
      <c r="C136" s="1" t="s">
        <v>14</v>
      </c>
      <c r="D136" s="1">
        <v>62000</v>
      </c>
      <c r="E136" s="2">
        <v>43501</v>
      </c>
    </row>
    <row r="137" spans="1:5" x14ac:dyDescent="0.3">
      <c r="A137" s="1" t="s">
        <v>150</v>
      </c>
      <c r="B137" s="1" t="s">
        <v>350</v>
      </c>
      <c r="C137" s="1" t="s">
        <v>16</v>
      </c>
      <c r="D137" s="1">
        <v>73000</v>
      </c>
      <c r="E137" s="2">
        <v>44012</v>
      </c>
    </row>
    <row r="138" spans="1:5" x14ac:dyDescent="0.3">
      <c r="A138" s="1" t="s">
        <v>151</v>
      </c>
      <c r="B138" s="1" t="s">
        <v>351</v>
      </c>
      <c r="C138" s="1" t="s">
        <v>18</v>
      </c>
      <c r="D138" s="1">
        <v>56000</v>
      </c>
      <c r="E138" s="2">
        <v>42266</v>
      </c>
    </row>
    <row r="139" spans="1:5" x14ac:dyDescent="0.3">
      <c r="A139" s="1" t="s">
        <v>152</v>
      </c>
      <c r="B139" s="1" t="s">
        <v>352</v>
      </c>
      <c r="C139" s="1" t="s">
        <v>20</v>
      </c>
      <c r="D139" s="1">
        <v>67000</v>
      </c>
      <c r="E139" s="2">
        <v>43198</v>
      </c>
    </row>
    <row r="140" spans="1:5" x14ac:dyDescent="0.3">
      <c r="A140" s="1" t="s">
        <v>153</v>
      </c>
      <c r="B140" s="1" t="s">
        <v>353</v>
      </c>
      <c r="C140" s="1" t="s">
        <v>22</v>
      </c>
      <c r="D140" s="1">
        <v>71000</v>
      </c>
      <c r="E140" s="2">
        <v>44805</v>
      </c>
    </row>
    <row r="141" spans="1:5" x14ac:dyDescent="0.3">
      <c r="A141" s="1" t="s">
        <v>154</v>
      </c>
      <c r="B141" s="1" t="s">
        <v>354</v>
      </c>
      <c r="C141" s="1" t="s">
        <v>24</v>
      </c>
      <c r="D141" s="1">
        <v>64000</v>
      </c>
      <c r="E141" s="2">
        <v>43079</v>
      </c>
    </row>
    <row r="142" spans="1:5" x14ac:dyDescent="0.3">
      <c r="A142" s="1" t="s">
        <v>155</v>
      </c>
      <c r="B142" s="1" t="s">
        <v>355</v>
      </c>
      <c r="C142" s="1" t="s">
        <v>6</v>
      </c>
      <c r="D142" s="1">
        <v>52000</v>
      </c>
      <c r="E142" s="2">
        <v>43557</v>
      </c>
    </row>
    <row r="143" spans="1:5" x14ac:dyDescent="0.3">
      <c r="A143" s="1" t="s">
        <v>156</v>
      </c>
      <c r="B143" s="1" t="s">
        <v>356</v>
      </c>
      <c r="C143" s="1" t="s">
        <v>8</v>
      </c>
      <c r="D143" s="1">
        <v>48000</v>
      </c>
      <c r="E143" s="2">
        <v>43872</v>
      </c>
    </row>
    <row r="144" spans="1:5" x14ac:dyDescent="0.3">
      <c r="A144" s="1" t="s">
        <v>157</v>
      </c>
      <c r="B144" s="1" t="s">
        <v>357</v>
      </c>
      <c r="C144" s="1" t="s">
        <v>10</v>
      </c>
      <c r="D144" s="1">
        <v>75000</v>
      </c>
      <c r="E144" s="2">
        <v>43307</v>
      </c>
    </row>
    <row r="145" spans="1:5" x14ac:dyDescent="0.3">
      <c r="A145" s="1" t="s">
        <v>158</v>
      </c>
      <c r="B145" s="1" t="s">
        <v>358</v>
      </c>
      <c r="C145" s="1" t="s">
        <v>12</v>
      </c>
      <c r="D145" s="1">
        <v>61000</v>
      </c>
      <c r="E145" s="2">
        <v>44484</v>
      </c>
    </row>
    <row r="146" spans="1:5" x14ac:dyDescent="0.3">
      <c r="A146" s="1" t="s">
        <v>159</v>
      </c>
      <c r="B146" s="1" t="s">
        <v>359</v>
      </c>
      <c r="C146" s="1" t="s">
        <v>14</v>
      </c>
      <c r="D146" s="1">
        <v>69000</v>
      </c>
      <c r="E146" s="2">
        <v>42879</v>
      </c>
    </row>
    <row r="147" spans="1:5" x14ac:dyDescent="0.3">
      <c r="A147" s="1" t="s">
        <v>160</v>
      </c>
      <c r="B147" s="1" t="s">
        <v>360</v>
      </c>
      <c r="C147" s="1" t="s">
        <v>16</v>
      </c>
      <c r="D147" s="1">
        <v>72000</v>
      </c>
      <c r="E147" s="2">
        <v>44623</v>
      </c>
    </row>
    <row r="148" spans="1:5" x14ac:dyDescent="0.3">
      <c r="A148" s="1" t="s">
        <v>161</v>
      </c>
      <c r="B148" s="1" t="s">
        <v>361</v>
      </c>
      <c r="C148" s="1" t="s">
        <v>18</v>
      </c>
      <c r="D148" s="1">
        <v>50000</v>
      </c>
      <c r="E148" s="2">
        <v>43485</v>
      </c>
    </row>
    <row r="149" spans="1:5" x14ac:dyDescent="0.3">
      <c r="A149" s="1" t="s">
        <v>162</v>
      </c>
      <c r="B149" s="1" t="s">
        <v>362</v>
      </c>
      <c r="C149" s="1" t="s">
        <v>20</v>
      </c>
      <c r="D149" s="1">
        <v>66000</v>
      </c>
      <c r="E149" s="2">
        <v>44021</v>
      </c>
    </row>
    <row r="150" spans="1:5" x14ac:dyDescent="0.3">
      <c r="A150" s="1" t="s">
        <v>163</v>
      </c>
      <c r="B150" s="1" t="s">
        <v>363</v>
      </c>
      <c r="C150" s="1" t="s">
        <v>22</v>
      </c>
      <c r="D150" s="1">
        <v>58000</v>
      </c>
      <c r="E150" s="2">
        <v>42671</v>
      </c>
    </row>
    <row r="151" spans="1:5" x14ac:dyDescent="0.3">
      <c r="A151" s="1" t="s">
        <v>164</v>
      </c>
      <c r="B151" s="1" t="s">
        <v>364</v>
      </c>
      <c r="C151" s="1" t="s">
        <v>24</v>
      </c>
      <c r="D151" s="1">
        <v>45000</v>
      </c>
      <c r="E151" s="2">
        <v>42075</v>
      </c>
    </row>
    <row r="152" spans="1:5" x14ac:dyDescent="0.3">
      <c r="A152" s="1" t="s">
        <v>165</v>
      </c>
      <c r="B152" s="1" t="s">
        <v>365</v>
      </c>
      <c r="C152" s="1" t="s">
        <v>6</v>
      </c>
      <c r="D152" s="1">
        <v>80000</v>
      </c>
      <c r="E152" s="2">
        <v>43221</v>
      </c>
    </row>
    <row r="153" spans="1:5" x14ac:dyDescent="0.3">
      <c r="A153" s="1" t="s">
        <v>166</v>
      </c>
      <c r="B153" s="1" t="s">
        <v>366</v>
      </c>
      <c r="C153" s="1" t="s">
        <v>8</v>
      </c>
      <c r="D153" s="1">
        <v>54000</v>
      </c>
      <c r="E153" s="2">
        <v>42902</v>
      </c>
    </row>
    <row r="154" spans="1:5" x14ac:dyDescent="0.3">
      <c r="A154" s="1" t="s">
        <v>167</v>
      </c>
      <c r="B154" s="1" t="s">
        <v>367</v>
      </c>
      <c r="C154" s="1" t="s">
        <v>10</v>
      </c>
      <c r="D154" s="1">
        <v>47000</v>
      </c>
      <c r="E154" s="2">
        <v>44231</v>
      </c>
    </row>
    <row r="155" spans="1:5" x14ac:dyDescent="0.3">
      <c r="A155" s="1" t="s">
        <v>168</v>
      </c>
      <c r="B155" s="1" t="s">
        <v>368</v>
      </c>
      <c r="C155" s="1" t="s">
        <v>12</v>
      </c>
      <c r="D155" s="1">
        <v>90000</v>
      </c>
      <c r="E155" s="2">
        <v>42697</v>
      </c>
    </row>
    <row r="156" spans="1:5" x14ac:dyDescent="0.3">
      <c r="A156" s="1" t="s">
        <v>169</v>
      </c>
      <c r="B156" s="1" t="s">
        <v>369</v>
      </c>
      <c r="C156" s="1" t="s">
        <v>14</v>
      </c>
      <c r="D156" s="1">
        <v>62000</v>
      </c>
      <c r="E156" s="2">
        <v>43689</v>
      </c>
    </row>
    <row r="157" spans="1:5" x14ac:dyDescent="0.3">
      <c r="A157" s="1" t="s">
        <v>170</v>
      </c>
      <c r="B157" s="1" t="s">
        <v>370</v>
      </c>
      <c r="C157" s="1" t="s">
        <v>16</v>
      </c>
      <c r="D157" s="1">
        <v>73000</v>
      </c>
      <c r="E157" s="2">
        <v>44194</v>
      </c>
    </row>
    <row r="158" spans="1:5" x14ac:dyDescent="0.3">
      <c r="A158" s="1" t="s">
        <v>171</v>
      </c>
      <c r="B158" s="1" t="s">
        <v>371</v>
      </c>
      <c r="C158" s="1" t="s">
        <v>18</v>
      </c>
      <c r="D158" s="1">
        <v>56000</v>
      </c>
      <c r="E158" s="2">
        <v>42011</v>
      </c>
    </row>
    <row r="159" spans="1:5" x14ac:dyDescent="0.3">
      <c r="A159" s="1" t="s">
        <v>172</v>
      </c>
      <c r="B159" s="1" t="s">
        <v>372</v>
      </c>
      <c r="C159" s="1" t="s">
        <v>20</v>
      </c>
      <c r="D159" s="1">
        <v>67000</v>
      </c>
      <c r="E159" s="2">
        <v>43269</v>
      </c>
    </row>
    <row r="160" spans="1:5" x14ac:dyDescent="0.3">
      <c r="A160" s="1" t="s">
        <v>173</v>
      </c>
      <c r="B160" s="1" t="s">
        <v>373</v>
      </c>
      <c r="C160" s="1" t="s">
        <v>22</v>
      </c>
      <c r="D160" s="1">
        <v>71000</v>
      </c>
      <c r="E160" s="2">
        <v>44706</v>
      </c>
    </row>
    <row r="161" spans="1:5" x14ac:dyDescent="0.3">
      <c r="A161" s="1" t="s">
        <v>174</v>
      </c>
      <c r="B161" s="1" t="s">
        <v>374</v>
      </c>
      <c r="C161" s="1" t="s">
        <v>24</v>
      </c>
      <c r="D161" s="1">
        <v>64000</v>
      </c>
      <c r="E161" s="2">
        <v>42768</v>
      </c>
    </row>
    <row r="162" spans="1:5" x14ac:dyDescent="0.3">
      <c r="A162" s="1" t="s">
        <v>175</v>
      </c>
      <c r="B162" s="1" t="s">
        <v>375</v>
      </c>
      <c r="C162" s="1" t="s">
        <v>6</v>
      </c>
      <c r="D162" s="1">
        <v>52000</v>
      </c>
      <c r="E162" s="2">
        <v>43758</v>
      </c>
    </row>
    <row r="163" spans="1:5" x14ac:dyDescent="0.3">
      <c r="A163" s="1" t="s">
        <v>176</v>
      </c>
      <c r="B163" s="1" t="s">
        <v>376</v>
      </c>
      <c r="C163" s="1" t="s">
        <v>8</v>
      </c>
      <c r="D163" s="1">
        <v>48000</v>
      </c>
      <c r="E163" s="2">
        <v>43922</v>
      </c>
    </row>
    <row r="164" spans="1:5" x14ac:dyDescent="0.3">
      <c r="A164" s="1" t="s">
        <v>177</v>
      </c>
      <c r="B164" s="1" t="s">
        <v>377</v>
      </c>
      <c r="C164" s="1" t="s">
        <v>10</v>
      </c>
      <c r="D164" s="1">
        <v>75000</v>
      </c>
      <c r="E164" s="2">
        <v>43356</v>
      </c>
    </row>
    <row r="165" spans="1:5" x14ac:dyDescent="0.3">
      <c r="A165" s="1" t="s">
        <v>178</v>
      </c>
      <c r="B165" s="1" t="s">
        <v>378</v>
      </c>
      <c r="C165" s="1" t="s">
        <v>12</v>
      </c>
      <c r="D165" s="1">
        <v>61000</v>
      </c>
      <c r="E165" s="2">
        <v>44353</v>
      </c>
    </row>
    <row r="166" spans="1:5" x14ac:dyDescent="0.3">
      <c r="A166" s="1" t="s">
        <v>179</v>
      </c>
      <c r="B166" s="1" t="s">
        <v>379</v>
      </c>
      <c r="C166" s="1" t="s">
        <v>14</v>
      </c>
      <c r="D166" s="1">
        <v>69000</v>
      </c>
      <c r="E166" s="2">
        <v>43066</v>
      </c>
    </row>
    <row r="167" spans="1:5" x14ac:dyDescent="0.3">
      <c r="A167" s="1" t="s">
        <v>180</v>
      </c>
      <c r="B167" s="1" t="s">
        <v>380</v>
      </c>
      <c r="C167" s="1" t="s">
        <v>16</v>
      </c>
      <c r="D167" s="1">
        <v>72000</v>
      </c>
      <c r="E167" s="2">
        <v>44576</v>
      </c>
    </row>
    <row r="168" spans="1:5" x14ac:dyDescent="0.3">
      <c r="A168" s="1" t="s">
        <v>181</v>
      </c>
      <c r="B168" s="1" t="s">
        <v>381</v>
      </c>
      <c r="C168" s="1" t="s">
        <v>18</v>
      </c>
      <c r="D168" s="1">
        <v>50000</v>
      </c>
      <c r="E168" s="2">
        <v>43532</v>
      </c>
    </row>
    <row r="169" spans="1:5" x14ac:dyDescent="0.3">
      <c r="A169" s="1" t="s">
        <v>182</v>
      </c>
      <c r="B169" s="1" t="s">
        <v>382</v>
      </c>
      <c r="C169" s="1" t="s">
        <v>20</v>
      </c>
      <c r="D169" s="1">
        <v>66000</v>
      </c>
      <c r="E169" s="2">
        <v>44063</v>
      </c>
    </row>
    <row r="170" spans="1:5" x14ac:dyDescent="0.3">
      <c r="A170" s="1" t="s">
        <v>183</v>
      </c>
      <c r="B170" s="1" t="s">
        <v>383</v>
      </c>
      <c r="C170" s="1" t="s">
        <v>22</v>
      </c>
      <c r="D170" s="1">
        <v>58000</v>
      </c>
      <c r="E170" s="2">
        <v>42409</v>
      </c>
    </row>
    <row r="171" spans="1:5" x14ac:dyDescent="0.3">
      <c r="A171" s="1" t="s">
        <v>184</v>
      </c>
      <c r="B171" s="1" t="s">
        <v>384</v>
      </c>
      <c r="C171" s="1" t="s">
        <v>24</v>
      </c>
      <c r="D171" s="1">
        <v>45000</v>
      </c>
      <c r="E171" s="2">
        <v>42277</v>
      </c>
    </row>
    <row r="172" spans="1:5" x14ac:dyDescent="0.3">
      <c r="A172" s="1" t="s">
        <v>185</v>
      </c>
      <c r="B172" s="1" t="s">
        <v>385</v>
      </c>
      <c r="C172" s="1" t="s">
        <v>6</v>
      </c>
      <c r="D172" s="1">
        <v>80000</v>
      </c>
      <c r="E172" s="2">
        <v>43119</v>
      </c>
    </row>
    <row r="173" spans="1:5" x14ac:dyDescent="0.3">
      <c r="A173" s="1" t="s">
        <v>186</v>
      </c>
      <c r="B173" s="1" t="s">
        <v>386</v>
      </c>
      <c r="C173" s="1" t="s">
        <v>8</v>
      </c>
      <c r="D173" s="1">
        <v>54000</v>
      </c>
      <c r="E173" s="2">
        <v>42822</v>
      </c>
    </row>
    <row r="174" spans="1:5" x14ac:dyDescent="0.3">
      <c r="A174" s="1" t="s">
        <v>187</v>
      </c>
      <c r="B174" s="1" t="s">
        <v>387</v>
      </c>
      <c r="C174" s="1" t="s">
        <v>10</v>
      </c>
      <c r="D174" s="1">
        <v>47000</v>
      </c>
      <c r="E174" s="2">
        <v>44325</v>
      </c>
    </row>
    <row r="175" spans="1:5" x14ac:dyDescent="0.3">
      <c r="A175" s="1" t="s">
        <v>188</v>
      </c>
      <c r="B175" s="1" t="s">
        <v>388</v>
      </c>
      <c r="C175" s="1" t="s">
        <v>12</v>
      </c>
      <c r="D175" s="1">
        <v>90000</v>
      </c>
      <c r="E175" s="2">
        <v>42535</v>
      </c>
    </row>
    <row r="176" spans="1:5" x14ac:dyDescent="0.3">
      <c r="A176" s="1" t="s">
        <v>189</v>
      </c>
      <c r="B176" s="1" t="s">
        <v>389</v>
      </c>
      <c r="C176" s="1" t="s">
        <v>14</v>
      </c>
      <c r="D176" s="1">
        <v>62000</v>
      </c>
      <c r="E176" s="2">
        <v>43669</v>
      </c>
    </row>
    <row r="177" spans="1:5" x14ac:dyDescent="0.3">
      <c r="A177" s="1" t="s">
        <v>190</v>
      </c>
      <c r="B177" s="1" t="s">
        <v>390</v>
      </c>
      <c r="C177" s="1" t="s">
        <v>16</v>
      </c>
      <c r="D177" s="1">
        <v>73000</v>
      </c>
      <c r="E177" s="2">
        <v>44139</v>
      </c>
    </row>
    <row r="178" spans="1:5" x14ac:dyDescent="0.3">
      <c r="A178" s="1" t="s">
        <v>191</v>
      </c>
      <c r="B178" s="1" t="s">
        <v>391</v>
      </c>
      <c r="C178" s="1" t="s">
        <v>18</v>
      </c>
      <c r="D178" s="1">
        <v>56000</v>
      </c>
      <c r="E178" s="2">
        <v>42217</v>
      </c>
    </row>
    <row r="179" spans="1:5" x14ac:dyDescent="0.3">
      <c r="A179" s="1" t="s">
        <v>192</v>
      </c>
      <c r="B179" s="1" t="s">
        <v>392</v>
      </c>
      <c r="C179" s="1" t="s">
        <v>20</v>
      </c>
      <c r="D179" s="1">
        <v>67000</v>
      </c>
      <c r="E179" s="2">
        <v>43169</v>
      </c>
    </row>
    <row r="180" spans="1:5" x14ac:dyDescent="0.3">
      <c r="A180" s="1" t="s">
        <v>193</v>
      </c>
      <c r="B180" s="1" t="s">
        <v>393</v>
      </c>
      <c r="C180" s="1" t="s">
        <v>22</v>
      </c>
      <c r="D180" s="1">
        <v>71000</v>
      </c>
      <c r="E180" s="2">
        <v>44740</v>
      </c>
    </row>
    <row r="181" spans="1:5" x14ac:dyDescent="0.3">
      <c r="A181" s="1" t="s">
        <v>194</v>
      </c>
      <c r="B181" s="1" t="s">
        <v>394</v>
      </c>
      <c r="C181" s="1" t="s">
        <v>24</v>
      </c>
      <c r="D181" s="1">
        <v>64000</v>
      </c>
      <c r="E181" s="2">
        <v>42737</v>
      </c>
    </row>
    <row r="182" spans="1:5" x14ac:dyDescent="0.3">
      <c r="A182" s="1" t="s">
        <v>195</v>
      </c>
      <c r="B182" s="1" t="s">
        <v>395</v>
      </c>
      <c r="C182" s="1" t="s">
        <v>6</v>
      </c>
      <c r="D182" s="1">
        <v>52000</v>
      </c>
      <c r="E182" s="2">
        <v>43622</v>
      </c>
    </row>
    <row r="183" spans="1:5" x14ac:dyDescent="0.3">
      <c r="A183" s="1" t="s">
        <v>196</v>
      </c>
      <c r="B183" s="1" t="s">
        <v>396</v>
      </c>
      <c r="C183" s="1" t="s">
        <v>8</v>
      </c>
      <c r="D183" s="1">
        <v>48000</v>
      </c>
      <c r="E183" s="2">
        <v>44091</v>
      </c>
    </row>
    <row r="184" spans="1:5" x14ac:dyDescent="0.3">
      <c r="A184" s="1" t="s">
        <v>197</v>
      </c>
      <c r="B184" s="1" t="s">
        <v>397</v>
      </c>
      <c r="C184" s="1" t="s">
        <v>10</v>
      </c>
      <c r="D184" s="1">
        <v>75000</v>
      </c>
      <c r="E184" s="2">
        <v>43156</v>
      </c>
    </row>
    <row r="185" spans="1:5" x14ac:dyDescent="0.3">
      <c r="A185" s="1" t="s">
        <v>198</v>
      </c>
      <c r="B185" s="1" t="s">
        <v>398</v>
      </c>
      <c r="C185" s="1" t="s">
        <v>12</v>
      </c>
      <c r="D185" s="1">
        <v>61000</v>
      </c>
      <c r="E185" s="2">
        <v>44439</v>
      </c>
    </row>
    <row r="186" spans="1:5" x14ac:dyDescent="0.3">
      <c r="A186" s="1" t="s">
        <v>199</v>
      </c>
      <c r="B186" s="1" t="s">
        <v>399</v>
      </c>
      <c r="C186" s="1" t="s">
        <v>14</v>
      </c>
      <c r="D186" s="1">
        <v>69000</v>
      </c>
      <c r="E186" s="2">
        <v>42837</v>
      </c>
    </row>
    <row r="187" spans="1:5" x14ac:dyDescent="0.3">
      <c r="A187" s="1" t="s">
        <v>200</v>
      </c>
      <c r="B187" s="1" t="s">
        <v>400</v>
      </c>
      <c r="C187" s="1" t="s">
        <v>16</v>
      </c>
      <c r="D187" s="1">
        <v>72000</v>
      </c>
      <c r="E187" s="2">
        <v>44656</v>
      </c>
    </row>
    <row r="188" spans="1:5" x14ac:dyDescent="0.3">
      <c r="A188" s="1" t="s">
        <v>201</v>
      </c>
      <c r="B188" s="1" t="s">
        <v>401</v>
      </c>
      <c r="C188" s="1" t="s">
        <v>18</v>
      </c>
      <c r="D188" s="1">
        <v>50000</v>
      </c>
      <c r="E188" s="2">
        <v>43827</v>
      </c>
    </row>
    <row r="189" spans="1:5" x14ac:dyDescent="0.3">
      <c r="A189" s="1" t="s">
        <v>202</v>
      </c>
      <c r="B189" s="1" t="s">
        <v>402</v>
      </c>
      <c r="C189" s="1" t="s">
        <v>20</v>
      </c>
      <c r="D189" s="1">
        <v>66000</v>
      </c>
      <c r="E189" s="2">
        <v>44004</v>
      </c>
    </row>
    <row r="190" spans="1:5" x14ac:dyDescent="0.3">
      <c r="A190" s="1" t="s">
        <v>203</v>
      </c>
      <c r="B190" s="1" t="s">
        <v>403</v>
      </c>
      <c r="C190" s="1" t="s">
        <v>22</v>
      </c>
      <c r="D190" s="1">
        <v>58000</v>
      </c>
      <c r="E190" s="2">
        <v>42566</v>
      </c>
    </row>
    <row r="191" spans="1:5" x14ac:dyDescent="0.3">
      <c r="A191" s="1" t="s">
        <v>204</v>
      </c>
      <c r="B191" s="1" t="s">
        <v>404</v>
      </c>
      <c r="C191" s="1" t="s">
        <v>24</v>
      </c>
      <c r="D191" s="1">
        <v>45000</v>
      </c>
      <c r="E191" s="2">
        <v>42030</v>
      </c>
    </row>
    <row r="192" spans="1:5" x14ac:dyDescent="0.3">
      <c r="A192" s="1" t="s">
        <v>205</v>
      </c>
      <c r="B192" s="1" t="s">
        <v>405</v>
      </c>
      <c r="C192" s="1" t="s">
        <v>6</v>
      </c>
      <c r="D192" s="1">
        <v>80000</v>
      </c>
      <c r="E192" s="2">
        <v>43382</v>
      </c>
    </row>
    <row r="193" spans="1:5" x14ac:dyDescent="0.3">
      <c r="A193" s="1" t="s">
        <v>206</v>
      </c>
      <c r="B193" s="1" t="s">
        <v>406</v>
      </c>
      <c r="C193" s="1" t="s">
        <v>8</v>
      </c>
      <c r="D193" s="1">
        <v>54000</v>
      </c>
      <c r="E193" s="2">
        <v>42873</v>
      </c>
    </row>
    <row r="194" spans="1:5" x14ac:dyDescent="0.3">
      <c r="A194" s="1" t="s">
        <v>207</v>
      </c>
      <c r="B194" s="1" t="s">
        <v>407</v>
      </c>
      <c r="C194" s="1" t="s">
        <v>10</v>
      </c>
      <c r="D194" s="1">
        <v>47000</v>
      </c>
      <c r="E194" s="2">
        <v>44378</v>
      </c>
    </row>
    <row r="195" spans="1:5" x14ac:dyDescent="0.3">
      <c r="A195" s="1" t="s">
        <v>208</v>
      </c>
      <c r="B195" s="1" t="s">
        <v>408</v>
      </c>
      <c r="C195" s="1" t="s">
        <v>12</v>
      </c>
      <c r="D195" s="1">
        <v>90000</v>
      </c>
      <c r="E195" s="2">
        <v>42715</v>
      </c>
    </row>
    <row r="196" spans="1:5" x14ac:dyDescent="0.3">
      <c r="A196" s="1" t="s">
        <v>209</v>
      </c>
      <c r="B196" s="1" t="s">
        <v>409</v>
      </c>
      <c r="C196" s="1" t="s">
        <v>14</v>
      </c>
      <c r="D196" s="1">
        <v>62000</v>
      </c>
      <c r="E196" s="2">
        <v>43553</v>
      </c>
    </row>
    <row r="197" spans="1:5" x14ac:dyDescent="0.3">
      <c r="A197" s="1" t="s">
        <v>210</v>
      </c>
      <c r="B197" s="1" t="s">
        <v>410</v>
      </c>
      <c r="C197" s="1" t="s">
        <v>16</v>
      </c>
      <c r="D197" s="1">
        <v>73000</v>
      </c>
      <c r="E197" s="2">
        <v>43971</v>
      </c>
    </row>
    <row r="198" spans="1:5" x14ac:dyDescent="0.3">
      <c r="A198" s="1" t="s">
        <v>211</v>
      </c>
      <c r="B198" s="1" t="s">
        <v>411</v>
      </c>
      <c r="C198" s="1" t="s">
        <v>18</v>
      </c>
      <c r="D198" s="1">
        <v>56000</v>
      </c>
      <c r="E198" s="2">
        <v>42283</v>
      </c>
    </row>
    <row r="199" spans="1:5" x14ac:dyDescent="0.3">
      <c r="A199" s="1" t="s">
        <v>212</v>
      </c>
      <c r="B199" s="1" t="s">
        <v>412</v>
      </c>
      <c r="C199" s="1" t="s">
        <v>20</v>
      </c>
      <c r="D199" s="1">
        <v>67000</v>
      </c>
      <c r="E199" s="2">
        <v>43327</v>
      </c>
    </row>
    <row r="200" spans="1:5" x14ac:dyDescent="0.3">
      <c r="A200" s="1" t="s">
        <v>213</v>
      </c>
      <c r="B200" s="1" t="s">
        <v>413</v>
      </c>
      <c r="C200" s="1" t="s">
        <v>22</v>
      </c>
      <c r="D200" s="1">
        <v>71000</v>
      </c>
      <c r="E200" s="2">
        <v>44600</v>
      </c>
    </row>
    <row r="201" spans="1:5" x14ac:dyDescent="0.3">
      <c r="A201" s="1" t="s">
        <v>214</v>
      </c>
      <c r="B201" s="1" t="s">
        <v>414</v>
      </c>
      <c r="C201" s="1" t="s">
        <v>24</v>
      </c>
      <c r="D201" s="1">
        <v>64000</v>
      </c>
      <c r="E201" s="2">
        <v>42950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635D-D9BA-476C-A6EE-8E7D53B55EEB}">
  <dimension ref="A1:E201"/>
  <sheetViews>
    <sheetView workbookViewId="0">
      <selection activeCell="A2" sqref="A2"/>
    </sheetView>
  </sheetViews>
  <sheetFormatPr defaultRowHeight="14.4" x14ac:dyDescent="0.3"/>
  <cols>
    <col min="2" max="2" width="17.77734375" bestFit="1" customWidth="1"/>
    <col min="3" max="3" width="18.109375" bestFit="1" customWidth="1"/>
    <col min="4" max="4" width="25.5546875" bestFit="1" customWidth="1"/>
    <col min="6" max="6" width="7" bestFit="1" customWidth="1"/>
  </cols>
  <sheetData>
    <row r="1" spans="1:5" x14ac:dyDescent="0.3">
      <c r="A1" s="1" t="s">
        <v>0</v>
      </c>
      <c r="B1" s="1" t="s">
        <v>415</v>
      </c>
      <c r="C1" s="1" t="s">
        <v>673</v>
      </c>
      <c r="D1" s="1" t="s">
        <v>672</v>
      </c>
      <c r="E1" s="1" t="s">
        <v>671</v>
      </c>
    </row>
    <row r="2" spans="1:5" x14ac:dyDescent="0.3">
      <c r="A2" s="1" t="s">
        <v>5</v>
      </c>
      <c r="B2" s="1" t="s">
        <v>416</v>
      </c>
      <c r="C2" s="1" t="s">
        <v>417</v>
      </c>
      <c r="D2" s="1" t="s">
        <v>418</v>
      </c>
      <c r="E2" s="1">
        <v>110001</v>
      </c>
    </row>
    <row r="3" spans="1:5" x14ac:dyDescent="0.3">
      <c r="A3" s="1" t="s">
        <v>7</v>
      </c>
      <c r="B3" s="1" t="s">
        <v>420</v>
      </c>
      <c r="C3" s="1" t="s">
        <v>421</v>
      </c>
      <c r="D3" s="1" t="s">
        <v>422</v>
      </c>
      <c r="E3" s="1">
        <v>700016</v>
      </c>
    </row>
    <row r="4" spans="1:5" x14ac:dyDescent="0.3">
      <c r="A4" s="1" t="s">
        <v>9</v>
      </c>
      <c r="B4" s="1" t="s">
        <v>423</v>
      </c>
      <c r="C4" s="1" t="s">
        <v>424</v>
      </c>
      <c r="D4" s="1" t="s">
        <v>425</v>
      </c>
      <c r="E4" s="1">
        <v>560001</v>
      </c>
    </row>
    <row r="5" spans="1:5" x14ac:dyDescent="0.3">
      <c r="A5" s="1" t="s">
        <v>11</v>
      </c>
      <c r="B5" s="1" t="s">
        <v>426</v>
      </c>
      <c r="C5" s="1" t="s">
        <v>427</v>
      </c>
      <c r="D5" s="1" t="s">
        <v>428</v>
      </c>
      <c r="E5" s="1">
        <v>600002</v>
      </c>
    </row>
    <row r="6" spans="1:5" x14ac:dyDescent="0.3">
      <c r="A6" s="1" t="s">
        <v>13</v>
      </c>
      <c r="B6" s="1" t="s">
        <v>429</v>
      </c>
      <c r="C6" s="1" t="s">
        <v>430</v>
      </c>
      <c r="D6" s="1" t="s">
        <v>431</v>
      </c>
      <c r="E6" s="1">
        <v>400020</v>
      </c>
    </row>
    <row r="7" spans="1:5" x14ac:dyDescent="0.3">
      <c r="A7" s="1" t="s">
        <v>15</v>
      </c>
      <c r="B7" s="1" t="s">
        <v>432</v>
      </c>
      <c r="C7" s="1" t="s">
        <v>433</v>
      </c>
      <c r="D7" s="1" t="s">
        <v>431</v>
      </c>
      <c r="E7" s="1">
        <v>411001</v>
      </c>
    </row>
    <row r="8" spans="1:5" x14ac:dyDescent="0.3">
      <c r="A8" s="1" t="s">
        <v>17</v>
      </c>
      <c r="B8" s="1" t="s">
        <v>434</v>
      </c>
      <c r="C8" s="1" t="s">
        <v>435</v>
      </c>
      <c r="D8" s="1" t="s">
        <v>436</v>
      </c>
      <c r="E8" s="1">
        <v>500034</v>
      </c>
    </row>
    <row r="9" spans="1:5" x14ac:dyDescent="0.3">
      <c r="A9" s="1" t="s">
        <v>19</v>
      </c>
      <c r="B9" s="1" t="s">
        <v>437</v>
      </c>
      <c r="C9" s="1" t="s">
        <v>438</v>
      </c>
      <c r="D9" s="1" t="s">
        <v>439</v>
      </c>
      <c r="E9" s="1">
        <v>380054</v>
      </c>
    </row>
    <row r="10" spans="1:5" x14ac:dyDescent="0.3">
      <c r="A10" s="1" t="s">
        <v>21</v>
      </c>
      <c r="B10" s="1" t="s">
        <v>440</v>
      </c>
      <c r="C10" s="1" t="s">
        <v>441</v>
      </c>
      <c r="D10" s="1" t="s">
        <v>442</v>
      </c>
      <c r="E10" s="1">
        <v>226001</v>
      </c>
    </row>
    <row r="11" spans="1:5" x14ac:dyDescent="0.3">
      <c r="A11" s="1" t="s">
        <v>23</v>
      </c>
      <c r="B11" s="1" t="s">
        <v>443</v>
      </c>
      <c r="C11" s="1" t="s">
        <v>444</v>
      </c>
      <c r="D11" s="1" t="s">
        <v>445</v>
      </c>
      <c r="E11" s="1">
        <v>302001</v>
      </c>
    </row>
    <row r="12" spans="1:5" x14ac:dyDescent="0.3">
      <c r="A12" s="1" t="s">
        <v>25</v>
      </c>
      <c r="B12" s="1" t="s">
        <v>446</v>
      </c>
      <c r="C12" s="1" t="s">
        <v>447</v>
      </c>
      <c r="D12" s="1" t="s">
        <v>447</v>
      </c>
      <c r="E12" s="1">
        <v>160017</v>
      </c>
    </row>
    <row r="13" spans="1:5" x14ac:dyDescent="0.3">
      <c r="A13" s="1" t="s">
        <v>26</v>
      </c>
      <c r="B13" s="1" t="s">
        <v>448</v>
      </c>
      <c r="C13" s="1" t="s">
        <v>449</v>
      </c>
      <c r="D13" s="1" t="s">
        <v>450</v>
      </c>
      <c r="E13" s="1">
        <v>122015</v>
      </c>
    </row>
    <row r="14" spans="1:5" x14ac:dyDescent="0.3">
      <c r="A14" s="1" t="s">
        <v>27</v>
      </c>
      <c r="B14" s="1" t="s">
        <v>451</v>
      </c>
      <c r="C14" s="1" t="s">
        <v>452</v>
      </c>
      <c r="D14" s="1" t="s">
        <v>442</v>
      </c>
      <c r="E14" s="1">
        <v>201301</v>
      </c>
    </row>
    <row r="15" spans="1:5" x14ac:dyDescent="0.3">
      <c r="A15" s="1" t="s">
        <v>28</v>
      </c>
      <c r="B15" s="1" t="s">
        <v>453</v>
      </c>
      <c r="C15" s="1" t="s">
        <v>454</v>
      </c>
      <c r="D15" s="1" t="s">
        <v>442</v>
      </c>
      <c r="E15" s="1">
        <v>201001</v>
      </c>
    </row>
    <row r="16" spans="1:5" x14ac:dyDescent="0.3">
      <c r="A16" s="1" t="s">
        <v>29</v>
      </c>
      <c r="B16" s="1" t="s">
        <v>455</v>
      </c>
      <c r="C16" s="1" t="s">
        <v>456</v>
      </c>
      <c r="D16" s="1" t="s">
        <v>450</v>
      </c>
      <c r="E16" s="1">
        <v>121007</v>
      </c>
    </row>
    <row r="17" spans="1:5" x14ac:dyDescent="0.3">
      <c r="A17" s="1" t="s">
        <v>30</v>
      </c>
      <c r="B17" s="1" t="s">
        <v>457</v>
      </c>
      <c r="C17" s="1" t="s">
        <v>458</v>
      </c>
      <c r="D17" s="1" t="s">
        <v>442</v>
      </c>
      <c r="E17" s="1">
        <v>208001</v>
      </c>
    </row>
    <row r="18" spans="1:5" x14ac:dyDescent="0.3">
      <c r="A18" s="1" t="s">
        <v>31</v>
      </c>
      <c r="B18" s="1" t="s">
        <v>459</v>
      </c>
      <c r="C18" s="1" t="s">
        <v>460</v>
      </c>
      <c r="D18" s="1" t="s">
        <v>439</v>
      </c>
      <c r="E18" s="1">
        <v>395001</v>
      </c>
    </row>
    <row r="19" spans="1:5" x14ac:dyDescent="0.3">
      <c r="A19" s="1" t="s">
        <v>32</v>
      </c>
      <c r="B19" s="1" t="s">
        <v>461</v>
      </c>
      <c r="C19" s="1" t="s">
        <v>462</v>
      </c>
      <c r="D19" s="1" t="s">
        <v>439</v>
      </c>
      <c r="E19" s="1">
        <v>390007</v>
      </c>
    </row>
    <row r="20" spans="1:5" x14ac:dyDescent="0.3">
      <c r="A20" s="1" t="s">
        <v>33</v>
      </c>
      <c r="B20" s="1" t="s">
        <v>463</v>
      </c>
      <c r="C20" s="1" t="s">
        <v>464</v>
      </c>
      <c r="D20" s="1" t="s">
        <v>465</v>
      </c>
      <c r="E20" s="1">
        <v>462011</v>
      </c>
    </row>
    <row r="21" spans="1:5" x14ac:dyDescent="0.3">
      <c r="A21" s="1" t="s">
        <v>34</v>
      </c>
      <c r="B21" s="1" t="s">
        <v>466</v>
      </c>
      <c r="C21" s="1" t="s">
        <v>467</v>
      </c>
      <c r="D21" s="1" t="s">
        <v>465</v>
      </c>
      <c r="E21" s="1">
        <v>452001</v>
      </c>
    </row>
    <row r="22" spans="1:5" x14ac:dyDescent="0.3">
      <c r="A22" s="1" t="s">
        <v>35</v>
      </c>
      <c r="B22" s="1" t="s">
        <v>468</v>
      </c>
      <c r="C22" s="1" t="s">
        <v>469</v>
      </c>
      <c r="D22" s="1" t="s">
        <v>470</v>
      </c>
      <c r="E22" s="1">
        <v>800001</v>
      </c>
    </row>
    <row r="23" spans="1:5" x14ac:dyDescent="0.3">
      <c r="A23" s="1" t="s">
        <v>36</v>
      </c>
      <c r="B23" s="1" t="s">
        <v>471</v>
      </c>
      <c r="C23" s="1" t="s">
        <v>472</v>
      </c>
      <c r="D23" s="1" t="s">
        <v>473</v>
      </c>
      <c r="E23" s="1">
        <v>834001</v>
      </c>
    </row>
    <row r="24" spans="1:5" x14ac:dyDescent="0.3">
      <c r="A24" s="1" t="s">
        <v>37</v>
      </c>
      <c r="B24" s="1" t="s">
        <v>474</v>
      </c>
      <c r="C24" s="1" t="s">
        <v>475</v>
      </c>
      <c r="D24" s="1" t="s">
        <v>476</v>
      </c>
      <c r="E24" s="1">
        <v>751001</v>
      </c>
    </row>
    <row r="25" spans="1:5" x14ac:dyDescent="0.3">
      <c r="A25" s="1" t="s">
        <v>38</v>
      </c>
      <c r="B25" s="1" t="s">
        <v>477</v>
      </c>
      <c r="C25" s="1" t="s">
        <v>478</v>
      </c>
      <c r="D25" s="1" t="s">
        <v>428</v>
      </c>
      <c r="E25" s="1">
        <v>641018</v>
      </c>
    </row>
    <row r="26" spans="1:5" x14ac:dyDescent="0.3">
      <c r="A26" s="1" t="s">
        <v>39</v>
      </c>
      <c r="B26" s="1" t="s">
        <v>479</v>
      </c>
      <c r="C26" s="1" t="s">
        <v>480</v>
      </c>
      <c r="D26" s="1" t="s">
        <v>481</v>
      </c>
      <c r="E26" s="1">
        <v>682016</v>
      </c>
    </row>
    <row r="27" spans="1:5" x14ac:dyDescent="0.3">
      <c r="A27" s="1" t="s">
        <v>40</v>
      </c>
      <c r="B27" s="1" t="s">
        <v>482</v>
      </c>
      <c r="C27" s="1" t="s">
        <v>483</v>
      </c>
      <c r="D27" s="1" t="s">
        <v>481</v>
      </c>
      <c r="E27" s="1">
        <v>695014</v>
      </c>
    </row>
    <row r="28" spans="1:5" x14ac:dyDescent="0.3">
      <c r="A28" s="1" t="s">
        <v>41</v>
      </c>
      <c r="B28" s="1" t="s">
        <v>484</v>
      </c>
      <c r="C28" s="1" t="s">
        <v>485</v>
      </c>
      <c r="D28" s="1" t="s">
        <v>425</v>
      </c>
      <c r="E28" s="1">
        <v>570001</v>
      </c>
    </row>
    <row r="29" spans="1:5" x14ac:dyDescent="0.3">
      <c r="A29" s="1" t="s">
        <v>42</v>
      </c>
      <c r="B29" s="1" t="s">
        <v>486</v>
      </c>
      <c r="C29" s="1" t="s">
        <v>487</v>
      </c>
      <c r="D29" s="1" t="s">
        <v>431</v>
      </c>
      <c r="E29" s="1">
        <v>440012</v>
      </c>
    </row>
    <row r="30" spans="1:5" x14ac:dyDescent="0.3">
      <c r="A30" s="1" t="s">
        <v>43</v>
      </c>
      <c r="B30" s="1" t="s">
        <v>488</v>
      </c>
      <c r="C30" s="1" t="s">
        <v>489</v>
      </c>
      <c r="D30" s="1" t="s">
        <v>431</v>
      </c>
      <c r="E30" s="1">
        <v>422001</v>
      </c>
    </row>
    <row r="31" spans="1:5" x14ac:dyDescent="0.3">
      <c r="A31" s="1" t="s">
        <v>44</v>
      </c>
      <c r="B31" s="1" t="s">
        <v>490</v>
      </c>
      <c r="C31" s="1" t="s">
        <v>491</v>
      </c>
      <c r="D31" s="1" t="s">
        <v>445</v>
      </c>
      <c r="E31" s="1">
        <v>342001</v>
      </c>
    </row>
    <row r="32" spans="1:5" x14ac:dyDescent="0.3">
      <c r="A32" s="1" t="s">
        <v>45</v>
      </c>
      <c r="B32" s="1" t="s">
        <v>492</v>
      </c>
      <c r="C32" s="1" t="s">
        <v>493</v>
      </c>
      <c r="D32" s="1" t="s">
        <v>445</v>
      </c>
      <c r="E32" s="1">
        <v>313001</v>
      </c>
    </row>
    <row r="33" spans="1:5" x14ac:dyDescent="0.3">
      <c r="A33" s="1" t="s">
        <v>46</v>
      </c>
      <c r="B33" s="1" t="s">
        <v>494</v>
      </c>
      <c r="C33" s="1" t="s">
        <v>495</v>
      </c>
      <c r="D33" s="1" t="s">
        <v>442</v>
      </c>
      <c r="E33" s="1">
        <v>282002</v>
      </c>
    </row>
    <row r="34" spans="1:5" x14ac:dyDescent="0.3">
      <c r="A34" s="1" t="s">
        <v>47</v>
      </c>
      <c r="B34" s="1" t="s">
        <v>496</v>
      </c>
      <c r="C34" s="1" t="s">
        <v>497</v>
      </c>
      <c r="D34" s="1" t="s">
        <v>442</v>
      </c>
      <c r="E34" s="1">
        <v>221001</v>
      </c>
    </row>
    <row r="35" spans="1:5" x14ac:dyDescent="0.3">
      <c r="A35" s="1" t="s">
        <v>48</v>
      </c>
      <c r="B35" s="1" t="s">
        <v>498</v>
      </c>
      <c r="C35" s="1" t="s">
        <v>499</v>
      </c>
      <c r="D35" s="1" t="s">
        <v>442</v>
      </c>
      <c r="E35" s="1">
        <v>250001</v>
      </c>
    </row>
    <row r="36" spans="1:5" x14ac:dyDescent="0.3">
      <c r="A36" s="1" t="s">
        <v>49</v>
      </c>
      <c r="B36" s="1" t="s">
        <v>500</v>
      </c>
      <c r="C36" s="1" t="s">
        <v>501</v>
      </c>
      <c r="D36" s="1" t="s">
        <v>502</v>
      </c>
      <c r="E36" s="1">
        <v>141001</v>
      </c>
    </row>
    <row r="37" spans="1:5" x14ac:dyDescent="0.3">
      <c r="A37" s="1" t="s">
        <v>50</v>
      </c>
      <c r="B37" s="1" t="s">
        <v>503</v>
      </c>
      <c r="C37" s="1" t="s">
        <v>504</v>
      </c>
      <c r="D37" s="1" t="s">
        <v>502</v>
      </c>
      <c r="E37" s="1">
        <v>143001</v>
      </c>
    </row>
    <row r="38" spans="1:5" x14ac:dyDescent="0.3">
      <c r="A38" s="1" t="s">
        <v>51</v>
      </c>
      <c r="B38" s="1" t="s">
        <v>505</v>
      </c>
      <c r="C38" s="1" t="s">
        <v>506</v>
      </c>
      <c r="D38" s="1" t="s">
        <v>502</v>
      </c>
      <c r="E38" s="1">
        <v>144001</v>
      </c>
    </row>
    <row r="39" spans="1:5" x14ac:dyDescent="0.3">
      <c r="A39" s="1" t="s">
        <v>52</v>
      </c>
      <c r="B39" s="1" t="s">
        <v>507</v>
      </c>
      <c r="C39" s="1" t="s">
        <v>508</v>
      </c>
      <c r="D39" s="1" t="s">
        <v>509</v>
      </c>
      <c r="E39" s="1">
        <v>248001</v>
      </c>
    </row>
    <row r="40" spans="1:5" x14ac:dyDescent="0.3">
      <c r="A40" s="1" t="s">
        <v>53</v>
      </c>
      <c r="B40" s="1" t="s">
        <v>510</v>
      </c>
      <c r="C40" s="1" t="s">
        <v>511</v>
      </c>
      <c r="D40" s="1" t="s">
        <v>512</v>
      </c>
      <c r="E40" s="1">
        <v>171001</v>
      </c>
    </row>
    <row r="41" spans="1:5" x14ac:dyDescent="0.3">
      <c r="A41" s="1" t="s">
        <v>54</v>
      </c>
      <c r="B41" s="1" t="s">
        <v>513</v>
      </c>
      <c r="C41" s="1" t="s">
        <v>514</v>
      </c>
      <c r="D41" s="1" t="s">
        <v>515</v>
      </c>
      <c r="E41" s="1">
        <v>190001</v>
      </c>
    </row>
    <row r="42" spans="1:5" x14ac:dyDescent="0.3">
      <c r="A42" s="1" t="s">
        <v>55</v>
      </c>
      <c r="B42" s="1" t="s">
        <v>516</v>
      </c>
      <c r="C42" s="1" t="s">
        <v>517</v>
      </c>
      <c r="D42" s="1" t="s">
        <v>518</v>
      </c>
      <c r="E42" s="1">
        <v>781001</v>
      </c>
    </row>
    <row r="43" spans="1:5" x14ac:dyDescent="0.3">
      <c r="A43" s="1" t="s">
        <v>56</v>
      </c>
      <c r="B43" s="1" t="s">
        <v>519</v>
      </c>
      <c r="C43" s="1" t="s">
        <v>520</v>
      </c>
      <c r="D43" s="1" t="s">
        <v>521</v>
      </c>
      <c r="E43" s="1">
        <v>795001</v>
      </c>
    </row>
    <row r="44" spans="1:5" x14ac:dyDescent="0.3">
      <c r="A44" s="1" t="s">
        <v>57</v>
      </c>
      <c r="B44" s="1" t="s">
        <v>522</v>
      </c>
      <c r="C44" s="1" t="s">
        <v>523</v>
      </c>
      <c r="D44" s="1" t="s">
        <v>524</v>
      </c>
      <c r="E44" s="1">
        <v>791111</v>
      </c>
    </row>
    <row r="45" spans="1:5" x14ac:dyDescent="0.3">
      <c r="A45" s="1" t="s">
        <v>58</v>
      </c>
      <c r="B45" s="1" t="s">
        <v>525</v>
      </c>
      <c r="C45" s="1" t="s">
        <v>526</v>
      </c>
      <c r="D45" s="1" t="s">
        <v>527</v>
      </c>
      <c r="E45" s="1">
        <v>797001</v>
      </c>
    </row>
    <row r="46" spans="1:5" x14ac:dyDescent="0.3">
      <c r="A46" s="1" t="s">
        <v>59</v>
      </c>
      <c r="B46" s="1" t="s">
        <v>528</v>
      </c>
      <c r="C46" s="1" t="s">
        <v>529</v>
      </c>
      <c r="D46" s="1" t="s">
        <v>530</v>
      </c>
      <c r="E46" s="1">
        <v>796001</v>
      </c>
    </row>
    <row r="47" spans="1:5" x14ac:dyDescent="0.3">
      <c r="A47" s="1" t="s">
        <v>60</v>
      </c>
      <c r="B47" s="1" t="s">
        <v>531</v>
      </c>
      <c r="C47" s="1" t="s">
        <v>532</v>
      </c>
      <c r="D47" s="1" t="s">
        <v>533</v>
      </c>
      <c r="E47" s="1">
        <v>744101</v>
      </c>
    </row>
    <row r="48" spans="1:5" x14ac:dyDescent="0.3">
      <c r="A48" s="1" t="s">
        <v>61</v>
      </c>
      <c r="B48" s="1" t="s">
        <v>534</v>
      </c>
      <c r="C48" s="1" t="s">
        <v>418</v>
      </c>
      <c r="D48" s="1" t="s">
        <v>419</v>
      </c>
      <c r="E48" s="1">
        <v>110002</v>
      </c>
    </row>
    <row r="49" spans="1:5" x14ac:dyDescent="0.3">
      <c r="A49" s="1" t="s">
        <v>62</v>
      </c>
      <c r="B49" s="1" t="s">
        <v>535</v>
      </c>
      <c r="C49" s="1" t="s">
        <v>421</v>
      </c>
      <c r="D49" s="1" t="s">
        <v>422</v>
      </c>
      <c r="E49" s="1">
        <v>700017</v>
      </c>
    </row>
    <row r="50" spans="1:5" x14ac:dyDescent="0.3">
      <c r="A50" s="1" t="s">
        <v>63</v>
      </c>
      <c r="B50" s="1" t="s">
        <v>536</v>
      </c>
      <c r="C50" s="1" t="s">
        <v>424</v>
      </c>
      <c r="D50" s="1" t="s">
        <v>425</v>
      </c>
      <c r="E50" s="1">
        <v>560002</v>
      </c>
    </row>
    <row r="51" spans="1:5" x14ac:dyDescent="0.3">
      <c r="A51" s="1" t="s">
        <v>64</v>
      </c>
      <c r="B51" s="1" t="s">
        <v>537</v>
      </c>
      <c r="C51" s="1" t="s">
        <v>427</v>
      </c>
      <c r="D51" s="1" t="s">
        <v>428</v>
      </c>
      <c r="E51" s="1">
        <v>600017</v>
      </c>
    </row>
    <row r="52" spans="1:5" x14ac:dyDescent="0.3">
      <c r="A52" s="1" t="s">
        <v>65</v>
      </c>
      <c r="B52" s="1" t="s">
        <v>538</v>
      </c>
      <c r="C52" s="1" t="s">
        <v>430</v>
      </c>
      <c r="D52" s="1" t="s">
        <v>431</v>
      </c>
      <c r="E52" s="1">
        <v>400005</v>
      </c>
    </row>
    <row r="53" spans="1:5" x14ac:dyDescent="0.3">
      <c r="A53" s="1" t="s">
        <v>66</v>
      </c>
      <c r="B53" s="1" t="s">
        <v>539</v>
      </c>
      <c r="C53" s="1" t="s">
        <v>433</v>
      </c>
      <c r="D53" s="1" t="s">
        <v>431</v>
      </c>
      <c r="E53" s="1">
        <v>411001</v>
      </c>
    </row>
    <row r="54" spans="1:5" x14ac:dyDescent="0.3">
      <c r="A54" s="1" t="s">
        <v>67</v>
      </c>
      <c r="B54" s="1" t="s">
        <v>434</v>
      </c>
      <c r="C54" s="1" t="s">
        <v>435</v>
      </c>
      <c r="D54" s="1" t="s">
        <v>436</v>
      </c>
      <c r="E54" s="1">
        <v>500034</v>
      </c>
    </row>
    <row r="55" spans="1:5" x14ac:dyDescent="0.3">
      <c r="A55" s="1" t="s">
        <v>68</v>
      </c>
      <c r="B55" s="1" t="s">
        <v>540</v>
      </c>
      <c r="C55" s="1" t="s">
        <v>438</v>
      </c>
      <c r="D55" s="1" t="s">
        <v>439</v>
      </c>
      <c r="E55" s="1">
        <v>380009</v>
      </c>
    </row>
    <row r="56" spans="1:5" x14ac:dyDescent="0.3">
      <c r="A56" s="1" t="s">
        <v>69</v>
      </c>
      <c r="B56" s="1" t="s">
        <v>541</v>
      </c>
      <c r="C56" s="1" t="s">
        <v>441</v>
      </c>
      <c r="D56" s="1" t="s">
        <v>442</v>
      </c>
      <c r="E56" s="1">
        <v>226002</v>
      </c>
    </row>
    <row r="57" spans="1:5" x14ac:dyDescent="0.3">
      <c r="A57" s="1" t="s">
        <v>70</v>
      </c>
      <c r="B57" s="1" t="s">
        <v>542</v>
      </c>
      <c r="C57" s="1" t="s">
        <v>444</v>
      </c>
      <c r="D57" s="1" t="s">
        <v>445</v>
      </c>
      <c r="E57" s="1">
        <v>302003</v>
      </c>
    </row>
    <row r="58" spans="1:5" x14ac:dyDescent="0.3">
      <c r="A58" s="1" t="s">
        <v>71</v>
      </c>
      <c r="B58" s="1" t="s">
        <v>543</v>
      </c>
      <c r="C58" s="1" t="s">
        <v>447</v>
      </c>
      <c r="D58" s="1" t="s">
        <v>447</v>
      </c>
      <c r="E58" s="1">
        <v>160016</v>
      </c>
    </row>
    <row r="59" spans="1:5" x14ac:dyDescent="0.3">
      <c r="A59" s="1" t="s">
        <v>72</v>
      </c>
      <c r="B59" s="1" t="s">
        <v>544</v>
      </c>
      <c r="C59" s="1" t="s">
        <v>449</v>
      </c>
      <c r="D59" s="1" t="s">
        <v>450</v>
      </c>
      <c r="E59" s="1">
        <v>122016</v>
      </c>
    </row>
    <row r="60" spans="1:5" x14ac:dyDescent="0.3">
      <c r="A60" s="1" t="s">
        <v>73</v>
      </c>
      <c r="B60" s="1" t="s">
        <v>545</v>
      </c>
      <c r="C60" s="1" t="s">
        <v>452</v>
      </c>
      <c r="D60" s="1" t="s">
        <v>442</v>
      </c>
      <c r="E60" s="1">
        <v>201309</v>
      </c>
    </row>
    <row r="61" spans="1:5" x14ac:dyDescent="0.3">
      <c r="A61" s="1" t="s">
        <v>74</v>
      </c>
      <c r="B61" s="1" t="s">
        <v>546</v>
      </c>
      <c r="C61" s="1" t="s">
        <v>454</v>
      </c>
      <c r="D61" s="1" t="s">
        <v>442</v>
      </c>
      <c r="E61" s="1">
        <v>201010</v>
      </c>
    </row>
    <row r="62" spans="1:5" x14ac:dyDescent="0.3">
      <c r="A62" s="1" t="s">
        <v>75</v>
      </c>
      <c r="B62" s="1" t="s">
        <v>547</v>
      </c>
      <c r="C62" s="1" t="s">
        <v>456</v>
      </c>
      <c r="D62" s="1" t="s">
        <v>450</v>
      </c>
      <c r="E62" s="1">
        <v>121002</v>
      </c>
    </row>
    <row r="63" spans="1:5" x14ac:dyDescent="0.3">
      <c r="A63" s="1" t="s">
        <v>76</v>
      </c>
      <c r="B63" s="1" t="s">
        <v>548</v>
      </c>
      <c r="C63" s="1" t="s">
        <v>458</v>
      </c>
      <c r="D63" s="1" t="s">
        <v>442</v>
      </c>
      <c r="E63" s="1">
        <v>208002</v>
      </c>
    </row>
    <row r="64" spans="1:5" x14ac:dyDescent="0.3">
      <c r="A64" s="1" t="s">
        <v>77</v>
      </c>
      <c r="B64" s="1" t="s">
        <v>549</v>
      </c>
      <c r="C64" s="1" t="s">
        <v>460</v>
      </c>
      <c r="D64" s="1" t="s">
        <v>439</v>
      </c>
      <c r="E64" s="1">
        <v>395003</v>
      </c>
    </row>
    <row r="65" spans="1:5" x14ac:dyDescent="0.3">
      <c r="A65" s="1" t="s">
        <v>78</v>
      </c>
      <c r="B65" s="1" t="s">
        <v>550</v>
      </c>
      <c r="C65" s="1" t="s">
        <v>462</v>
      </c>
      <c r="D65" s="1" t="s">
        <v>439</v>
      </c>
      <c r="E65" s="1">
        <v>390005</v>
      </c>
    </row>
    <row r="66" spans="1:5" x14ac:dyDescent="0.3">
      <c r="A66" s="1" t="s">
        <v>79</v>
      </c>
      <c r="B66" s="1" t="s">
        <v>551</v>
      </c>
      <c r="C66" s="1" t="s">
        <v>464</v>
      </c>
      <c r="D66" s="1" t="s">
        <v>465</v>
      </c>
      <c r="E66" s="1">
        <v>462003</v>
      </c>
    </row>
    <row r="67" spans="1:5" x14ac:dyDescent="0.3">
      <c r="A67" s="1" t="s">
        <v>80</v>
      </c>
      <c r="B67" s="1" t="s">
        <v>552</v>
      </c>
      <c r="C67" s="1" t="s">
        <v>467</v>
      </c>
      <c r="D67" s="1" t="s">
        <v>465</v>
      </c>
      <c r="E67" s="1">
        <v>452002</v>
      </c>
    </row>
    <row r="68" spans="1:5" x14ac:dyDescent="0.3">
      <c r="A68" s="1" t="s">
        <v>81</v>
      </c>
      <c r="B68" s="1" t="s">
        <v>553</v>
      </c>
      <c r="C68" s="1" t="s">
        <v>469</v>
      </c>
      <c r="D68" s="1" t="s">
        <v>470</v>
      </c>
      <c r="E68" s="1">
        <v>800020</v>
      </c>
    </row>
    <row r="69" spans="1:5" x14ac:dyDescent="0.3">
      <c r="A69" s="1" t="s">
        <v>82</v>
      </c>
      <c r="B69" s="1" t="s">
        <v>554</v>
      </c>
      <c r="C69" s="1" t="s">
        <v>472</v>
      </c>
      <c r="D69" s="1" t="s">
        <v>473</v>
      </c>
      <c r="E69" s="1">
        <v>834002</v>
      </c>
    </row>
    <row r="70" spans="1:5" x14ac:dyDescent="0.3">
      <c r="A70" s="1" t="s">
        <v>83</v>
      </c>
      <c r="B70" s="1" t="s">
        <v>555</v>
      </c>
      <c r="C70" s="1" t="s">
        <v>475</v>
      </c>
      <c r="D70" s="1" t="s">
        <v>476</v>
      </c>
      <c r="E70" s="1">
        <v>751002</v>
      </c>
    </row>
    <row r="71" spans="1:5" x14ac:dyDescent="0.3">
      <c r="A71" s="1" t="s">
        <v>84</v>
      </c>
      <c r="B71" s="1" t="s">
        <v>556</v>
      </c>
      <c r="C71" s="1" t="s">
        <v>478</v>
      </c>
      <c r="D71" s="1" t="s">
        <v>428</v>
      </c>
      <c r="E71" s="1">
        <v>641012</v>
      </c>
    </row>
    <row r="72" spans="1:5" x14ac:dyDescent="0.3">
      <c r="A72" s="1" t="s">
        <v>85</v>
      </c>
      <c r="B72" s="1" t="s">
        <v>557</v>
      </c>
      <c r="C72" s="1" t="s">
        <v>480</v>
      </c>
      <c r="D72" s="1" t="s">
        <v>481</v>
      </c>
      <c r="E72" s="1">
        <v>682002</v>
      </c>
    </row>
    <row r="73" spans="1:5" x14ac:dyDescent="0.3">
      <c r="A73" s="1" t="s">
        <v>86</v>
      </c>
      <c r="B73" s="1" t="s">
        <v>558</v>
      </c>
      <c r="C73" s="1" t="s">
        <v>483</v>
      </c>
      <c r="D73" s="1" t="s">
        <v>481</v>
      </c>
      <c r="E73" s="1">
        <v>695004</v>
      </c>
    </row>
    <row r="74" spans="1:5" x14ac:dyDescent="0.3">
      <c r="A74" s="1" t="s">
        <v>87</v>
      </c>
      <c r="B74" s="1" t="s">
        <v>559</v>
      </c>
      <c r="C74" s="1" t="s">
        <v>485</v>
      </c>
      <c r="D74" s="1" t="s">
        <v>425</v>
      </c>
      <c r="E74" s="1">
        <v>570010</v>
      </c>
    </row>
    <row r="75" spans="1:5" x14ac:dyDescent="0.3">
      <c r="A75" s="1" t="s">
        <v>88</v>
      </c>
      <c r="B75" s="1" t="s">
        <v>560</v>
      </c>
      <c r="C75" s="1" t="s">
        <v>487</v>
      </c>
      <c r="D75" s="1" t="s">
        <v>431</v>
      </c>
      <c r="E75" s="1">
        <v>440010</v>
      </c>
    </row>
    <row r="76" spans="1:5" x14ac:dyDescent="0.3">
      <c r="A76" s="1" t="s">
        <v>89</v>
      </c>
      <c r="B76" s="1" t="s">
        <v>561</v>
      </c>
      <c r="C76" s="1" t="s">
        <v>489</v>
      </c>
      <c r="D76" s="1" t="s">
        <v>431</v>
      </c>
      <c r="E76" s="1">
        <v>422002</v>
      </c>
    </row>
    <row r="77" spans="1:5" x14ac:dyDescent="0.3">
      <c r="A77" s="1" t="s">
        <v>90</v>
      </c>
      <c r="B77" s="1" t="s">
        <v>562</v>
      </c>
      <c r="C77" s="1" t="s">
        <v>491</v>
      </c>
      <c r="D77" s="1" t="s">
        <v>445</v>
      </c>
      <c r="E77" s="1">
        <v>342002</v>
      </c>
    </row>
    <row r="78" spans="1:5" x14ac:dyDescent="0.3">
      <c r="A78" s="1" t="s">
        <v>91</v>
      </c>
      <c r="B78" s="1" t="s">
        <v>563</v>
      </c>
      <c r="C78" s="1" t="s">
        <v>493</v>
      </c>
      <c r="D78" s="1" t="s">
        <v>445</v>
      </c>
      <c r="E78" s="1">
        <v>313002</v>
      </c>
    </row>
    <row r="79" spans="1:5" x14ac:dyDescent="0.3">
      <c r="A79" s="1" t="s">
        <v>92</v>
      </c>
      <c r="B79" s="1" t="s">
        <v>564</v>
      </c>
      <c r="C79" s="1" t="s">
        <v>495</v>
      </c>
      <c r="D79" s="1" t="s">
        <v>442</v>
      </c>
      <c r="E79" s="1">
        <v>282003</v>
      </c>
    </row>
    <row r="80" spans="1:5" x14ac:dyDescent="0.3">
      <c r="A80" s="1" t="s">
        <v>93</v>
      </c>
      <c r="B80" s="1" t="s">
        <v>565</v>
      </c>
      <c r="C80" s="1" t="s">
        <v>497</v>
      </c>
      <c r="D80" s="1" t="s">
        <v>442</v>
      </c>
      <c r="E80" s="1">
        <v>221002</v>
      </c>
    </row>
    <row r="81" spans="1:5" x14ac:dyDescent="0.3">
      <c r="A81" s="1" t="s">
        <v>94</v>
      </c>
      <c r="B81" s="1" t="s">
        <v>566</v>
      </c>
      <c r="C81" s="1" t="s">
        <v>499</v>
      </c>
      <c r="D81" s="1" t="s">
        <v>442</v>
      </c>
      <c r="E81" s="1">
        <v>250002</v>
      </c>
    </row>
    <row r="82" spans="1:5" x14ac:dyDescent="0.3">
      <c r="A82" s="1" t="s">
        <v>95</v>
      </c>
      <c r="B82" s="1" t="s">
        <v>567</v>
      </c>
      <c r="C82" s="1" t="s">
        <v>501</v>
      </c>
      <c r="D82" s="1" t="s">
        <v>502</v>
      </c>
      <c r="E82" s="1">
        <v>141002</v>
      </c>
    </row>
    <row r="83" spans="1:5" x14ac:dyDescent="0.3">
      <c r="A83" s="1" t="s">
        <v>96</v>
      </c>
      <c r="B83" s="1" t="s">
        <v>503</v>
      </c>
      <c r="C83" s="1" t="s">
        <v>504</v>
      </c>
      <c r="D83" s="1" t="s">
        <v>502</v>
      </c>
      <c r="E83" s="1">
        <v>143002</v>
      </c>
    </row>
    <row r="84" spans="1:5" x14ac:dyDescent="0.3">
      <c r="A84" s="1" t="s">
        <v>97</v>
      </c>
      <c r="B84" s="1" t="s">
        <v>505</v>
      </c>
      <c r="C84" s="1" t="s">
        <v>506</v>
      </c>
      <c r="D84" s="1" t="s">
        <v>502</v>
      </c>
      <c r="E84" s="1">
        <v>144002</v>
      </c>
    </row>
    <row r="85" spans="1:5" x14ac:dyDescent="0.3">
      <c r="A85" s="1" t="s">
        <v>98</v>
      </c>
      <c r="B85" s="1" t="s">
        <v>568</v>
      </c>
      <c r="C85" s="1" t="s">
        <v>508</v>
      </c>
      <c r="D85" s="1" t="s">
        <v>509</v>
      </c>
      <c r="E85" s="1">
        <v>248002</v>
      </c>
    </row>
    <row r="86" spans="1:5" x14ac:dyDescent="0.3">
      <c r="A86" s="1" t="s">
        <v>99</v>
      </c>
      <c r="B86" s="1" t="s">
        <v>510</v>
      </c>
      <c r="C86" s="1" t="s">
        <v>511</v>
      </c>
      <c r="D86" s="1" t="s">
        <v>512</v>
      </c>
      <c r="E86" s="1">
        <v>171002</v>
      </c>
    </row>
    <row r="87" spans="1:5" x14ac:dyDescent="0.3">
      <c r="A87" s="1" t="s">
        <v>100</v>
      </c>
      <c r="B87" s="1" t="s">
        <v>513</v>
      </c>
      <c r="C87" s="1" t="s">
        <v>514</v>
      </c>
      <c r="D87" s="1" t="s">
        <v>515</v>
      </c>
      <c r="E87" s="1">
        <v>190002</v>
      </c>
    </row>
    <row r="88" spans="1:5" x14ac:dyDescent="0.3">
      <c r="A88" s="1" t="s">
        <v>101</v>
      </c>
      <c r="B88" s="1" t="s">
        <v>516</v>
      </c>
      <c r="C88" s="1" t="s">
        <v>517</v>
      </c>
      <c r="D88" s="1" t="s">
        <v>518</v>
      </c>
      <c r="E88" s="1">
        <v>781002</v>
      </c>
    </row>
    <row r="89" spans="1:5" x14ac:dyDescent="0.3">
      <c r="A89" s="1" t="s">
        <v>102</v>
      </c>
      <c r="B89" s="1" t="s">
        <v>569</v>
      </c>
      <c r="C89" s="1" t="s">
        <v>520</v>
      </c>
      <c r="D89" s="1" t="s">
        <v>521</v>
      </c>
      <c r="E89" s="1">
        <v>795002</v>
      </c>
    </row>
    <row r="90" spans="1:5" x14ac:dyDescent="0.3">
      <c r="A90" s="1" t="s">
        <v>103</v>
      </c>
      <c r="B90" s="1" t="s">
        <v>570</v>
      </c>
      <c r="C90" s="1" t="s">
        <v>523</v>
      </c>
      <c r="D90" s="1" t="s">
        <v>524</v>
      </c>
      <c r="E90" s="1">
        <v>791112</v>
      </c>
    </row>
    <row r="91" spans="1:5" x14ac:dyDescent="0.3">
      <c r="A91" s="1" t="s">
        <v>104</v>
      </c>
      <c r="B91" s="1" t="s">
        <v>571</v>
      </c>
      <c r="C91" s="1" t="s">
        <v>526</v>
      </c>
      <c r="D91" s="1" t="s">
        <v>527</v>
      </c>
      <c r="E91" s="1">
        <v>797002</v>
      </c>
    </row>
    <row r="92" spans="1:5" x14ac:dyDescent="0.3">
      <c r="A92" s="1" t="s">
        <v>105</v>
      </c>
      <c r="B92" s="1" t="s">
        <v>572</v>
      </c>
      <c r="C92" s="1" t="s">
        <v>529</v>
      </c>
      <c r="D92" s="1" t="s">
        <v>530</v>
      </c>
      <c r="E92" s="1">
        <v>796002</v>
      </c>
    </row>
    <row r="93" spans="1:5" x14ac:dyDescent="0.3">
      <c r="A93" s="1" t="s">
        <v>106</v>
      </c>
      <c r="B93" s="1" t="s">
        <v>573</v>
      </c>
      <c r="C93" s="1" t="s">
        <v>532</v>
      </c>
      <c r="D93" s="1" t="s">
        <v>533</v>
      </c>
      <c r="E93" s="1">
        <v>744102</v>
      </c>
    </row>
    <row r="94" spans="1:5" x14ac:dyDescent="0.3">
      <c r="A94" s="1" t="s">
        <v>107</v>
      </c>
      <c r="B94" s="1" t="s">
        <v>574</v>
      </c>
      <c r="C94" s="1" t="s">
        <v>418</v>
      </c>
      <c r="D94" s="1" t="s">
        <v>419</v>
      </c>
      <c r="E94" s="1">
        <v>110003</v>
      </c>
    </row>
    <row r="95" spans="1:5" x14ac:dyDescent="0.3">
      <c r="A95" s="1" t="s">
        <v>108</v>
      </c>
      <c r="B95" s="1" t="s">
        <v>575</v>
      </c>
      <c r="C95" s="1" t="s">
        <v>421</v>
      </c>
      <c r="D95" s="1" t="s">
        <v>422</v>
      </c>
      <c r="E95" s="1">
        <v>700018</v>
      </c>
    </row>
    <row r="96" spans="1:5" x14ac:dyDescent="0.3">
      <c r="A96" s="1" t="s">
        <v>109</v>
      </c>
      <c r="B96" s="1" t="s">
        <v>423</v>
      </c>
      <c r="C96" s="1" t="s">
        <v>424</v>
      </c>
      <c r="D96" s="1" t="s">
        <v>425</v>
      </c>
      <c r="E96" s="1">
        <v>560025</v>
      </c>
    </row>
    <row r="97" spans="1:5" x14ac:dyDescent="0.3">
      <c r="A97" s="1" t="s">
        <v>110</v>
      </c>
      <c r="B97" s="1" t="s">
        <v>576</v>
      </c>
      <c r="C97" s="1" t="s">
        <v>427</v>
      </c>
      <c r="D97" s="1" t="s">
        <v>428</v>
      </c>
      <c r="E97" s="1">
        <v>600018</v>
      </c>
    </row>
    <row r="98" spans="1:5" x14ac:dyDescent="0.3">
      <c r="A98" s="1" t="s">
        <v>111</v>
      </c>
      <c r="B98" s="1" t="s">
        <v>577</v>
      </c>
      <c r="C98" s="1" t="s">
        <v>430</v>
      </c>
      <c r="D98" s="1" t="s">
        <v>431</v>
      </c>
      <c r="E98" s="1">
        <v>400021</v>
      </c>
    </row>
    <row r="99" spans="1:5" x14ac:dyDescent="0.3">
      <c r="A99" s="1" t="s">
        <v>112</v>
      </c>
      <c r="B99" s="1" t="s">
        <v>539</v>
      </c>
      <c r="C99" s="1" t="s">
        <v>433</v>
      </c>
      <c r="D99" s="1" t="s">
        <v>431</v>
      </c>
      <c r="E99" s="1">
        <v>411006</v>
      </c>
    </row>
    <row r="100" spans="1:5" x14ac:dyDescent="0.3">
      <c r="A100" s="1" t="s">
        <v>113</v>
      </c>
      <c r="B100" s="1" t="s">
        <v>578</v>
      </c>
      <c r="C100" s="1" t="s">
        <v>435</v>
      </c>
      <c r="D100" s="1" t="s">
        <v>436</v>
      </c>
      <c r="E100" s="1">
        <v>500082</v>
      </c>
    </row>
    <row r="101" spans="1:5" x14ac:dyDescent="0.3">
      <c r="A101" s="1" t="s">
        <v>114</v>
      </c>
      <c r="B101" s="1" t="s">
        <v>579</v>
      </c>
      <c r="C101" s="1" t="s">
        <v>438</v>
      </c>
      <c r="D101" s="1" t="s">
        <v>439</v>
      </c>
      <c r="E101" s="1">
        <v>380015</v>
      </c>
    </row>
    <row r="102" spans="1:5" x14ac:dyDescent="0.3">
      <c r="A102" s="1" t="s">
        <v>115</v>
      </c>
      <c r="B102" s="1" t="s">
        <v>580</v>
      </c>
      <c r="C102" s="1" t="s">
        <v>441</v>
      </c>
      <c r="D102" s="1" t="s">
        <v>442</v>
      </c>
      <c r="E102" s="1">
        <v>226003</v>
      </c>
    </row>
    <row r="103" spans="1:5" x14ac:dyDescent="0.3">
      <c r="A103" s="1" t="s">
        <v>116</v>
      </c>
      <c r="B103" s="1" t="s">
        <v>581</v>
      </c>
      <c r="C103" s="1" t="s">
        <v>444</v>
      </c>
      <c r="D103" s="1" t="s">
        <v>445</v>
      </c>
      <c r="E103" s="1">
        <v>302004</v>
      </c>
    </row>
    <row r="104" spans="1:5" x14ac:dyDescent="0.3">
      <c r="A104" s="1" t="s">
        <v>117</v>
      </c>
      <c r="B104" s="1" t="s">
        <v>582</v>
      </c>
      <c r="C104" s="1" t="s">
        <v>447</v>
      </c>
      <c r="D104" s="1" t="s">
        <v>447</v>
      </c>
      <c r="E104" s="1">
        <v>160018</v>
      </c>
    </row>
    <row r="105" spans="1:5" x14ac:dyDescent="0.3">
      <c r="A105" s="1" t="s">
        <v>118</v>
      </c>
      <c r="B105" s="1" t="s">
        <v>583</v>
      </c>
      <c r="C105" s="1" t="s">
        <v>449</v>
      </c>
      <c r="D105" s="1" t="s">
        <v>450</v>
      </c>
      <c r="E105" s="1">
        <v>122017</v>
      </c>
    </row>
    <row r="106" spans="1:5" x14ac:dyDescent="0.3">
      <c r="A106" s="1" t="s">
        <v>119</v>
      </c>
      <c r="B106" s="1" t="s">
        <v>584</v>
      </c>
      <c r="C106" s="1" t="s">
        <v>452</v>
      </c>
      <c r="D106" s="1" t="s">
        <v>442</v>
      </c>
      <c r="E106" s="1">
        <v>201303</v>
      </c>
    </row>
    <row r="107" spans="1:5" x14ac:dyDescent="0.3">
      <c r="A107" s="1" t="s">
        <v>120</v>
      </c>
      <c r="B107" s="1" t="s">
        <v>585</v>
      </c>
      <c r="C107" s="1" t="s">
        <v>454</v>
      </c>
      <c r="D107" s="1" t="s">
        <v>442</v>
      </c>
      <c r="E107" s="1">
        <v>201002</v>
      </c>
    </row>
    <row r="108" spans="1:5" x14ac:dyDescent="0.3">
      <c r="A108" s="1" t="s">
        <v>121</v>
      </c>
      <c r="B108" s="1" t="s">
        <v>586</v>
      </c>
      <c r="C108" s="1" t="s">
        <v>454</v>
      </c>
      <c r="D108" s="1" t="s">
        <v>442</v>
      </c>
      <c r="E108" s="1">
        <v>201014</v>
      </c>
    </row>
    <row r="109" spans="1:5" x14ac:dyDescent="0.3">
      <c r="A109" s="1" t="s">
        <v>122</v>
      </c>
      <c r="B109" s="1" t="s">
        <v>587</v>
      </c>
      <c r="C109" s="1" t="s">
        <v>458</v>
      </c>
      <c r="D109" s="1" t="s">
        <v>442</v>
      </c>
      <c r="E109" s="1">
        <v>208003</v>
      </c>
    </row>
    <row r="110" spans="1:5" x14ac:dyDescent="0.3">
      <c r="A110" s="1" t="s">
        <v>123</v>
      </c>
      <c r="B110" s="1" t="s">
        <v>588</v>
      </c>
      <c r="C110" s="1" t="s">
        <v>460</v>
      </c>
      <c r="D110" s="1" t="s">
        <v>439</v>
      </c>
      <c r="E110" s="1">
        <v>395002</v>
      </c>
    </row>
    <row r="111" spans="1:5" x14ac:dyDescent="0.3">
      <c r="A111" s="1" t="s">
        <v>124</v>
      </c>
      <c r="B111" s="1" t="s">
        <v>589</v>
      </c>
      <c r="C111" s="1" t="s">
        <v>462</v>
      </c>
      <c r="D111" s="1" t="s">
        <v>439</v>
      </c>
      <c r="E111" s="1">
        <v>390006</v>
      </c>
    </row>
    <row r="112" spans="1:5" x14ac:dyDescent="0.3">
      <c r="A112" s="1" t="s">
        <v>125</v>
      </c>
      <c r="B112" s="1" t="s">
        <v>590</v>
      </c>
      <c r="C112" s="1" t="s">
        <v>464</v>
      </c>
      <c r="D112" s="1" t="s">
        <v>465</v>
      </c>
      <c r="E112" s="1">
        <v>462004</v>
      </c>
    </row>
    <row r="113" spans="1:5" x14ac:dyDescent="0.3">
      <c r="A113" s="1" t="s">
        <v>126</v>
      </c>
      <c r="B113" s="1" t="s">
        <v>591</v>
      </c>
      <c r="C113" s="1" t="s">
        <v>467</v>
      </c>
      <c r="D113" s="1" t="s">
        <v>465</v>
      </c>
      <c r="E113" s="1">
        <v>452003</v>
      </c>
    </row>
    <row r="114" spans="1:5" x14ac:dyDescent="0.3">
      <c r="A114" s="1" t="s">
        <v>127</v>
      </c>
      <c r="B114" s="1" t="s">
        <v>592</v>
      </c>
      <c r="C114" s="1" t="s">
        <v>469</v>
      </c>
      <c r="D114" s="1" t="s">
        <v>470</v>
      </c>
      <c r="E114" s="1">
        <v>800002</v>
      </c>
    </row>
    <row r="115" spans="1:5" x14ac:dyDescent="0.3">
      <c r="A115" s="1" t="s">
        <v>128</v>
      </c>
      <c r="B115" s="1" t="s">
        <v>593</v>
      </c>
      <c r="C115" s="1" t="s">
        <v>472</v>
      </c>
      <c r="D115" s="1" t="s">
        <v>473</v>
      </c>
      <c r="E115" s="1">
        <v>834003</v>
      </c>
    </row>
    <row r="116" spans="1:5" x14ac:dyDescent="0.3">
      <c r="A116" s="1" t="s">
        <v>129</v>
      </c>
      <c r="B116" s="1" t="s">
        <v>594</v>
      </c>
      <c r="C116" s="1" t="s">
        <v>475</v>
      </c>
      <c r="D116" s="1" t="s">
        <v>476</v>
      </c>
      <c r="E116" s="1">
        <v>751003</v>
      </c>
    </row>
    <row r="117" spans="1:5" x14ac:dyDescent="0.3">
      <c r="A117" s="1" t="s">
        <v>130</v>
      </c>
      <c r="B117" s="1" t="s">
        <v>556</v>
      </c>
      <c r="C117" s="1" t="s">
        <v>478</v>
      </c>
      <c r="D117" s="1" t="s">
        <v>428</v>
      </c>
      <c r="E117" s="1">
        <v>641018</v>
      </c>
    </row>
    <row r="118" spans="1:5" x14ac:dyDescent="0.3">
      <c r="A118" s="1" t="s">
        <v>131</v>
      </c>
      <c r="B118" s="1" t="s">
        <v>595</v>
      </c>
      <c r="C118" s="1" t="s">
        <v>480</v>
      </c>
      <c r="D118" s="1" t="s">
        <v>481</v>
      </c>
      <c r="E118" s="1">
        <v>682003</v>
      </c>
    </row>
    <row r="119" spans="1:5" x14ac:dyDescent="0.3">
      <c r="A119" s="1" t="s">
        <v>132</v>
      </c>
      <c r="B119" s="1" t="s">
        <v>596</v>
      </c>
      <c r="C119" s="1" t="s">
        <v>483</v>
      </c>
      <c r="D119" s="1" t="s">
        <v>481</v>
      </c>
      <c r="E119" s="1">
        <v>695005</v>
      </c>
    </row>
    <row r="120" spans="1:5" x14ac:dyDescent="0.3">
      <c r="A120" s="1" t="s">
        <v>133</v>
      </c>
      <c r="B120" s="1" t="s">
        <v>597</v>
      </c>
      <c r="C120" s="1" t="s">
        <v>485</v>
      </c>
      <c r="D120" s="1" t="s">
        <v>425</v>
      </c>
      <c r="E120" s="1">
        <v>570011</v>
      </c>
    </row>
    <row r="121" spans="1:5" x14ac:dyDescent="0.3">
      <c r="A121" s="1" t="s">
        <v>134</v>
      </c>
      <c r="B121" s="1" t="s">
        <v>598</v>
      </c>
      <c r="C121" s="1" t="s">
        <v>487</v>
      </c>
      <c r="D121" s="1" t="s">
        <v>431</v>
      </c>
      <c r="E121" s="1">
        <v>440011</v>
      </c>
    </row>
    <row r="122" spans="1:5" x14ac:dyDescent="0.3">
      <c r="A122" s="1" t="s">
        <v>135</v>
      </c>
      <c r="B122" s="1" t="s">
        <v>599</v>
      </c>
      <c r="C122" s="1" t="s">
        <v>489</v>
      </c>
      <c r="D122" s="1" t="s">
        <v>431</v>
      </c>
      <c r="E122" s="1">
        <v>422003</v>
      </c>
    </row>
    <row r="123" spans="1:5" x14ac:dyDescent="0.3">
      <c r="A123" s="1" t="s">
        <v>136</v>
      </c>
      <c r="B123" s="1" t="s">
        <v>600</v>
      </c>
      <c r="C123" s="1" t="s">
        <v>491</v>
      </c>
      <c r="D123" s="1" t="s">
        <v>445</v>
      </c>
      <c r="E123" s="1">
        <v>342003</v>
      </c>
    </row>
    <row r="124" spans="1:5" x14ac:dyDescent="0.3">
      <c r="A124" s="1" t="s">
        <v>137</v>
      </c>
      <c r="B124" s="1" t="s">
        <v>601</v>
      </c>
      <c r="C124" s="1" t="s">
        <v>493</v>
      </c>
      <c r="D124" s="1" t="s">
        <v>445</v>
      </c>
      <c r="E124" s="1">
        <v>313002</v>
      </c>
    </row>
    <row r="125" spans="1:5" x14ac:dyDescent="0.3">
      <c r="A125" s="1" t="s">
        <v>138</v>
      </c>
      <c r="B125" s="1" t="s">
        <v>602</v>
      </c>
      <c r="C125" s="1" t="s">
        <v>495</v>
      </c>
      <c r="D125" s="1" t="s">
        <v>442</v>
      </c>
      <c r="E125" s="1">
        <v>282004</v>
      </c>
    </row>
    <row r="126" spans="1:5" x14ac:dyDescent="0.3">
      <c r="A126" s="1" t="s">
        <v>139</v>
      </c>
      <c r="B126" s="1" t="s">
        <v>603</v>
      </c>
      <c r="C126" s="1" t="s">
        <v>497</v>
      </c>
      <c r="D126" s="1" t="s">
        <v>442</v>
      </c>
      <c r="E126" s="1">
        <v>221003</v>
      </c>
    </row>
    <row r="127" spans="1:5" x14ac:dyDescent="0.3">
      <c r="A127" s="1" t="s">
        <v>140</v>
      </c>
      <c r="B127" s="1" t="s">
        <v>498</v>
      </c>
      <c r="C127" s="1" t="s">
        <v>499</v>
      </c>
      <c r="D127" s="1" t="s">
        <v>442</v>
      </c>
      <c r="E127" s="1">
        <v>250003</v>
      </c>
    </row>
    <row r="128" spans="1:5" x14ac:dyDescent="0.3">
      <c r="A128" s="1" t="s">
        <v>141</v>
      </c>
      <c r="B128" s="1" t="s">
        <v>604</v>
      </c>
      <c r="C128" s="1" t="s">
        <v>501</v>
      </c>
      <c r="D128" s="1" t="s">
        <v>502</v>
      </c>
      <c r="E128" s="1">
        <v>141003</v>
      </c>
    </row>
    <row r="129" spans="1:5" x14ac:dyDescent="0.3">
      <c r="A129" s="1" t="s">
        <v>142</v>
      </c>
      <c r="B129" s="1" t="s">
        <v>605</v>
      </c>
      <c r="C129" s="1" t="s">
        <v>504</v>
      </c>
      <c r="D129" s="1" t="s">
        <v>502</v>
      </c>
      <c r="E129" s="1">
        <v>143003</v>
      </c>
    </row>
    <row r="130" spans="1:5" x14ac:dyDescent="0.3">
      <c r="A130" s="1" t="s">
        <v>143</v>
      </c>
      <c r="B130" s="1" t="s">
        <v>606</v>
      </c>
      <c r="C130" s="1" t="s">
        <v>506</v>
      </c>
      <c r="D130" s="1" t="s">
        <v>502</v>
      </c>
      <c r="E130" s="1">
        <v>144003</v>
      </c>
    </row>
    <row r="131" spans="1:5" x14ac:dyDescent="0.3">
      <c r="A131" s="1" t="s">
        <v>144</v>
      </c>
      <c r="B131" s="1" t="s">
        <v>607</v>
      </c>
      <c r="C131" s="1" t="s">
        <v>508</v>
      </c>
      <c r="D131" s="1" t="s">
        <v>509</v>
      </c>
      <c r="E131" s="1">
        <v>248003</v>
      </c>
    </row>
    <row r="132" spans="1:5" x14ac:dyDescent="0.3">
      <c r="A132" s="1" t="s">
        <v>145</v>
      </c>
      <c r="B132" s="1" t="s">
        <v>608</v>
      </c>
      <c r="C132" s="1" t="s">
        <v>511</v>
      </c>
      <c r="D132" s="1" t="s">
        <v>512</v>
      </c>
      <c r="E132" s="1">
        <v>171003</v>
      </c>
    </row>
    <row r="133" spans="1:5" x14ac:dyDescent="0.3">
      <c r="A133" s="1" t="s">
        <v>146</v>
      </c>
      <c r="B133" s="1" t="s">
        <v>609</v>
      </c>
      <c r="C133" s="1" t="s">
        <v>514</v>
      </c>
      <c r="D133" s="1" t="s">
        <v>515</v>
      </c>
      <c r="E133" s="1">
        <v>190003</v>
      </c>
    </row>
    <row r="134" spans="1:5" x14ac:dyDescent="0.3">
      <c r="A134" s="1" t="s">
        <v>147</v>
      </c>
      <c r="B134" s="1" t="s">
        <v>610</v>
      </c>
      <c r="C134" s="1" t="s">
        <v>517</v>
      </c>
      <c r="D134" s="1" t="s">
        <v>518</v>
      </c>
      <c r="E134" s="1">
        <v>781003</v>
      </c>
    </row>
    <row r="135" spans="1:5" x14ac:dyDescent="0.3">
      <c r="A135" s="1" t="s">
        <v>148</v>
      </c>
      <c r="B135" s="1" t="s">
        <v>611</v>
      </c>
      <c r="C135" s="1" t="s">
        <v>520</v>
      </c>
      <c r="D135" s="1" t="s">
        <v>521</v>
      </c>
      <c r="E135" s="1">
        <v>795003</v>
      </c>
    </row>
    <row r="136" spans="1:5" x14ac:dyDescent="0.3">
      <c r="A136" s="1" t="s">
        <v>149</v>
      </c>
      <c r="B136" s="1" t="s">
        <v>612</v>
      </c>
      <c r="C136" s="1" t="s">
        <v>523</v>
      </c>
      <c r="D136" s="1" t="s">
        <v>524</v>
      </c>
      <c r="E136" s="1">
        <v>791112</v>
      </c>
    </row>
    <row r="137" spans="1:5" x14ac:dyDescent="0.3">
      <c r="A137" s="1" t="s">
        <v>150</v>
      </c>
      <c r="B137" s="1" t="s">
        <v>613</v>
      </c>
      <c r="C137" s="1" t="s">
        <v>526</v>
      </c>
      <c r="D137" s="1" t="s">
        <v>527</v>
      </c>
      <c r="E137" s="1">
        <v>797003</v>
      </c>
    </row>
    <row r="138" spans="1:5" x14ac:dyDescent="0.3">
      <c r="A138" s="1" t="s">
        <v>151</v>
      </c>
      <c r="B138" s="1" t="s">
        <v>614</v>
      </c>
      <c r="C138" s="1" t="s">
        <v>529</v>
      </c>
      <c r="D138" s="1" t="s">
        <v>530</v>
      </c>
      <c r="E138" s="1">
        <v>796003</v>
      </c>
    </row>
    <row r="139" spans="1:5" x14ac:dyDescent="0.3">
      <c r="A139" s="1" t="s">
        <v>152</v>
      </c>
      <c r="B139" s="1" t="s">
        <v>615</v>
      </c>
      <c r="C139" s="1" t="s">
        <v>532</v>
      </c>
      <c r="D139" s="1" t="s">
        <v>533</v>
      </c>
      <c r="E139" s="1">
        <v>744103</v>
      </c>
    </row>
    <row r="140" spans="1:5" x14ac:dyDescent="0.3">
      <c r="A140" s="1" t="s">
        <v>153</v>
      </c>
      <c r="B140" s="1" t="s">
        <v>616</v>
      </c>
      <c r="C140" s="1" t="s">
        <v>418</v>
      </c>
      <c r="D140" s="1" t="s">
        <v>419</v>
      </c>
      <c r="E140" s="1">
        <v>110004</v>
      </c>
    </row>
    <row r="141" spans="1:5" x14ac:dyDescent="0.3">
      <c r="A141" s="1" t="s">
        <v>154</v>
      </c>
      <c r="B141" s="1" t="s">
        <v>617</v>
      </c>
      <c r="C141" s="1" t="s">
        <v>421</v>
      </c>
      <c r="D141" s="1" t="s">
        <v>422</v>
      </c>
      <c r="E141" s="1">
        <v>700019</v>
      </c>
    </row>
    <row r="142" spans="1:5" x14ac:dyDescent="0.3">
      <c r="A142" s="1" t="s">
        <v>155</v>
      </c>
      <c r="B142" s="1" t="s">
        <v>618</v>
      </c>
      <c r="C142" s="1" t="s">
        <v>424</v>
      </c>
      <c r="D142" s="1" t="s">
        <v>425</v>
      </c>
      <c r="E142" s="1">
        <v>560027</v>
      </c>
    </row>
    <row r="143" spans="1:5" x14ac:dyDescent="0.3">
      <c r="A143" s="1" t="s">
        <v>156</v>
      </c>
      <c r="B143" s="1" t="s">
        <v>619</v>
      </c>
      <c r="C143" s="1" t="s">
        <v>427</v>
      </c>
      <c r="D143" s="1" t="s">
        <v>428</v>
      </c>
      <c r="E143" s="1">
        <v>600019</v>
      </c>
    </row>
    <row r="144" spans="1:5" x14ac:dyDescent="0.3">
      <c r="A144" s="1" t="s">
        <v>157</v>
      </c>
      <c r="B144" s="1" t="s">
        <v>620</v>
      </c>
      <c r="C144" s="1" t="s">
        <v>430</v>
      </c>
      <c r="D144" s="1" t="s">
        <v>431</v>
      </c>
      <c r="E144" s="1">
        <v>400022</v>
      </c>
    </row>
    <row r="145" spans="1:5" x14ac:dyDescent="0.3">
      <c r="A145" s="1" t="s">
        <v>158</v>
      </c>
      <c r="B145" s="1" t="s">
        <v>621</v>
      </c>
      <c r="C145" s="1" t="s">
        <v>433</v>
      </c>
      <c r="D145" s="1" t="s">
        <v>431</v>
      </c>
      <c r="E145" s="1">
        <v>411007</v>
      </c>
    </row>
    <row r="146" spans="1:5" x14ac:dyDescent="0.3">
      <c r="A146" s="1" t="s">
        <v>159</v>
      </c>
      <c r="B146" s="1" t="s">
        <v>622</v>
      </c>
      <c r="C146" s="1" t="s">
        <v>435</v>
      </c>
      <c r="D146" s="1" t="s">
        <v>436</v>
      </c>
      <c r="E146" s="1">
        <v>500035</v>
      </c>
    </row>
    <row r="147" spans="1:5" x14ac:dyDescent="0.3">
      <c r="A147" s="1" t="s">
        <v>160</v>
      </c>
      <c r="B147" s="1" t="s">
        <v>623</v>
      </c>
      <c r="C147" s="1" t="s">
        <v>438</v>
      </c>
      <c r="D147" s="1" t="s">
        <v>439</v>
      </c>
      <c r="E147" s="1">
        <v>380010</v>
      </c>
    </row>
    <row r="148" spans="1:5" x14ac:dyDescent="0.3">
      <c r="A148" s="1" t="s">
        <v>161</v>
      </c>
      <c r="B148" s="1" t="s">
        <v>624</v>
      </c>
      <c r="C148" s="1" t="s">
        <v>441</v>
      </c>
      <c r="D148" s="1" t="s">
        <v>442</v>
      </c>
      <c r="E148" s="1">
        <v>226004</v>
      </c>
    </row>
    <row r="149" spans="1:5" x14ac:dyDescent="0.3">
      <c r="A149" s="1" t="s">
        <v>162</v>
      </c>
      <c r="B149" s="1" t="s">
        <v>625</v>
      </c>
      <c r="C149" s="1" t="s">
        <v>444</v>
      </c>
      <c r="D149" s="1" t="s">
        <v>445</v>
      </c>
      <c r="E149" s="1">
        <v>302005</v>
      </c>
    </row>
    <row r="150" spans="1:5" x14ac:dyDescent="0.3">
      <c r="A150" s="1" t="s">
        <v>163</v>
      </c>
      <c r="B150" s="1" t="s">
        <v>626</v>
      </c>
      <c r="C150" s="1" t="s">
        <v>447</v>
      </c>
      <c r="D150" s="1" t="s">
        <v>447</v>
      </c>
      <c r="E150" s="1">
        <v>160019</v>
      </c>
    </row>
    <row r="151" spans="1:5" x14ac:dyDescent="0.3">
      <c r="A151" s="1" t="s">
        <v>164</v>
      </c>
      <c r="B151" s="1" t="s">
        <v>627</v>
      </c>
      <c r="C151" s="1" t="s">
        <v>449</v>
      </c>
      <c r="D151" s="1" t="s">
        <v>450</v>
      </c>
      <c r="E151" s="1">
        <v>122018</v>
      </c>
    </row>
    <row r="152" spans="1:5" x14ac:dyDescent="0.3">
      <c r="A152" s="1" t="s">
        <v>165</v>
      </c>
      <c r="B152" s="1" t="s">
        <v>628</v>
      </c>
      <c r="C152" s="1" t="s">
        <v>452</v>
      </c>
      <c r="D152" s="1" t="s">
        <v>442</v>
      </c>
      <c r="E152" s="1">
        <v>201304</v>
      </c>
    </row>
    <row r="153" spans="1:5" x14ac:dyDescent="0.3">
      <c r="A153" s="1" t="s">
        <v>166</v>
      </c>
      <c r="B153" s="1" t="s">
        <v>629</v>
      </c>
      <c r="C153" s="1" t="s">
        <v>454</v>
      </c>
      <c r="D153" s="1" t="s">
        <v>442</v>
      </c>
      <c r="E153" s="1">
        <v>201003</v>
      </c>
    </row>
    <row r="154" spans="1:5" x14ac:dyDescent="0.3">
      <c r="A154" s="1" t="s">
        <v>167</v>
      </c>
      <c r="B154" s="1" t="s">
        <v>630</v>
      </c>
      <c r="C154" s="1" t="s">
        <v>454</v>
      </c>
      <c r="D154" s="1" t="s">
        <v>442</v>
      </c>
      <c r="E154" s="1">
        <v>201015</v>
      </c>
    </row>
    <row r="155" spans="1:5" x14ac:dyDescent="0.3">
      <c r="A155" s="1" t="s">
        <v>168</v>
      </c>
      <c r="B155" s="1" t="s">
        <v>631</v>
      </c>
      <c r="C155" s="1" t="s">
        <v>458</v>
      </c>
      <c r="D155" s="1" t="s">
        <v>442</v>
      </c>
      <c r="E155" s="1">
        <v>208004</v>
      </c>
    </row>
    <row r="156" spans="1:5" x14ac:dyDescent="0.3">
      <c r="A156" s="1" t="s">
        <v>169</v>
      </c>
      <c r="B156" s="1" t="s">
        <v>588</v>
      </c>
      <c r="C156" s="1" t="s">
        <v>460</v>
      </c>
      <c r="D156" s="1" t="s">
        <v>439</v>
      </c>
      <c r="E156" s="1">
        <v>395004</v>
      </c>
    </row>
    <row r="157" spans="1:5" x14ac:dyDescent="0.3">
      <c r="A157" s="1" t="s">
        <v>170</v>
      </c>
      <c r="B157" s="1" t="s">
        <v>632</v>
      </c>
      <c r="C157" s="1" t="s">
        <v>462</v>
      </c>
      <c r="D157" s="1" t="s">
        <v>439</v>
      </c>
      <c r="E157" s="1">
        <v>390007</v>
      </c>
    </row>
    <row r="158" spans="1:5" x14ac:dyDescent="0.3">
      <c r="A158" s="1" t="s">
        <v>171</v>
      </c>
      <c r="B158" s="1" t="s">
        <v>633</v>
      </c>
      <c r="C158" s="1" t="s">
        <v>464</v>
      </c>
      <c r="D158" s="1" t="s">
        <v>465</v>
      </c>
      <c r="E158" s="1">
        <v>462005</v>
      </c>
    </row>
    <row r="159" spans="1:5" x14ac:dyDescent="0.3">
      <c r="A159" s="1" t="s">
        <v>172</v>
      </c>
      <c r="B159" s="1" t="s">
        <v>634</v>
      </c>
      <c r="C159" s="1" t="s">
        <v>467</v>
      </c>
      <c r="D159" s="1" t="s">
        <v>465</v>
      </c>
      <c r="E159" s="1">
        <v>452004</v>
      </c>
    </row>
    <row r="160" spans="1:5" x14ac:dyDescent="0.3">
      <c r="A160" s="1" t="s">
        <v>173</v>
      </c>
      <c r="B160" s="1" t="s">
        <v>635</v>
      </c>
      <c r="C160" s="1" t="s">
        <v>469</v>
      </c>
      <c r="D160" s="1" t="s">
        <v>470</v>
      </c>
      <c r="E160" s="1">
        <v>800003</v>
      </c>
    </row>
    <row r="161" spans="1:5" x14ac:dyDescent="0.3">
      <c r="A161" s="1" t="s">
        <v>174</v>
      </c>
      <c r="B161" s="1" t="s">
        <v>636</v>
      </c>
      <c r="C161" s="1" t="s">
        <v>472</v>
      </c>
      <c r="D161" s="1" t="s">
        <v>473</v>
      </c>
      <c r="E161" s="1">
        <v>834004</v>
      </c>
    </row>
    <row r="162" spans="1:5" x14ac:dyDescent="0.3">
      <c r="A162" s="1" t="s">
        <v>175</v>
      </c>
      <c r="B162" s="1" t="s">
        <v>637</v>
      </c>
      <c r="C162" s="1" t="s">
        <v>475</v>
      </c>
      <c r="D162" s="1" t="s">
        <v>476</v>
      </c>
      <c r="E162" s="1">
        <v>751004</v>
      </c>
    </row>
    <row r="163" spans="1:5" x14ac:dyDescent="0.3">
      <c r="A163" s="1" t="s">
        <v>176</v>
      </c>
      <c r="B163" s="1" t="s">
        <v>638</v>
      </c>
      <c r="C163" s="1" t="s">
        <v>478</v>
      </c>
      <c r="D163" s="1" t="s">
        <v>428</v>
      </c>
      <c r="E163" s="1">
        <v>641014</v>
      </c>
    </row>
    <row r="164" spans="1:5" x14ac:dyDescent="0.3">
      <c r="A164" s="1" t="s">
        <v>177</v>
      </c>
      <c r="B164" s="1" t="s">
        <v>595</v>
      </c>
      <c r="C164" s="1" t="s">
        <v>480</v>
      </c>
      <c r="D164" s="1" t="s">
        <v>481</v>
      </c>
      <c r="E164" s="1">
        <v>682004</v>
      </c>
    </row>
    <row r="165" spans="1:5" x14ac:dyDescent="0.3">
      <c r="A165" s="1" t="s">
        <v>178</v>
      </c>
      <c r="B165" s="1" t="s">
        <v>639</v>
      </c>
      <c r="C165" s="1" t="s">
        <v>483</v>
      </c>
      <c r="D165" s="1" t="s">
        <v>481</v>
      </c>
      <c r="E165" s="1">
        <v>695006</v>
      </c>
    </row>
    <row r="166" spans="1:5" x14ac:dyDescent="0.3">
      <c r="A166" s="1" t="s">
        <v>179</v>
      </c>
      <c r="B166" s="1" t="s">
        <v>640</v>
      </c>
      <c r="C166" s="1" t="s">
        <v>485</v>
      </c>
      <c r="D166" s="1" t="s">
        <v>425</v>
      </c>
      <c r="E166" s="1">
        <v>570012</v>
      </c>
    </row>
    <row r="167" spans="1:5" x14ac:dyDescent="0.3">
      <c r="A167" s="1" t="s">
        <v>180</v>
      </c>
      <c r="B167" s="1" t="s">
        <v>641</v>
      </c>
      <c r="C167" s="1" t="s">
        <v>487</v>
      </c>
      <c r="D167" s="1" t="s">
        <v>431</v>
      </c>
      <c r="E167" s="1">
        <v>440012</v>
      </c>
    </row>
    <row r="168" spans="1:5" x14ac:dyDescent="0.3">
      <c r="A168" s="1" t="s">
        <v>181</v>
      </c>
      <c r="B168" s="1" t="s">
        <v>642</v>
      </c>
      <c r="C168" s="1" t="s">
        <v>489</v>
      </c>
      <c r="D168" s="1" t="s">
        <v>431</v>
      </c>
      <c r="E168" s="1">
        <v>422004</v>
      </c>
    </row>
    <row r="169" spans="1:5" x14ac:dyDescent="0.3">
      <c r="A169" s="1" t="s">
        <v>182</v>
      </c>
      <c r="B169" s="1" t="s">
        <v>490</v>
      </c>
      <c r="C169" s="1" t="s">
        <v>491</v>
      </c>
      <c r="D169" s="1" t="s">
        <v>445</v>
      </c>
      <c r="E169" s="1">
        <v>342004</v>
      </c>
    </row>
    <row r="170" spans="1:5" x14ac:dyDescent="0.3">
      <c r="A170" s="1" t="s">
        <v>183</v>
      </c>
      <c r="B170" s="1" t="s">
        <v>643</v>
      </c>
      <c r="C170" s="1" t="s">
        <v>493</v>
      </c>
      <c r="D170" s="1" t="s">
        <v>445</v>
      </c>
      <c r="E170" s="1">
        <v>313003</v>
      </c>
    </row>
    <row r="171" spans="1:5" x14ac:dyDescent="0.3">
      <c r="A171" s="1" t="s">
        <v>184</v>
      </c>
      <c r="B171" s="1" t="s">
        <v>644</v>
      </c>
      <c r="C171" s="1" t="s">
        <v>495</v>
      </c>
      <c r="D171" s="1" t="s">
        <v>442</v>
      </c>
      <c r="E171" s="1">
        <v>282005</v>
      </c>
    </row>
    <row r="172" spans="1:5" x14ac:dyDescent="0.3">
      <c r="A172" s="1" t="s">
        <v>185</v>
      </c>
      <c r="B172" s="1" t="s">
        <v>565</v>
      </c>
      <c r="C172" s="1" t="s">
        <v>497</v>
      </c>
      <c r="D172" s="1" t="s">
        <v>442</v>
      </c>
      <c r="E172" s="1">
        <v>221004</v>
      </c>
    </row>
    <row r="173" spans="1:5" x14ac:dyDescent="0.3">
      <c r="A173" s="1" t="s">
        <v>186</v>
      </c>
      <c r="B173" s="1" t="s">
        <v>645</v>
      </c>
      <c r="C173" s="1" t="s">
        <v>499</v>
      </c>
      <c r="D173" s="1" t="s">
        <v>442</v>
      </c>
      <c r="E173" s="1">
        <v>250004</v>
      </c>
    </row>
    <row r="174" spans="1:5" x14ac:dyDescent="0.3">
      <c r="A174" s="1" t="s">
        <v>187</v>
      </c>
      <c r="B174" s="1" t="s">
        <v>646</v>
      </c>
      <c r="C174" s="1" t="s">
        <v>501</v>
      </c>
      <c r="D174" s="1" t="s">
        <v>502</v>
      </c>
      <c r="E174" s="1">
        <v>141004</v>
      </c>
    </row>
    <row r="175" spans="1:5" x14ac:dyDescent="0.3">
      <c r="A175" s="1" t="s">
        <v>188</v>
      </c>
      <c r="B175" s="1" t="s">
        <v>647</v>
      </c>
      <c r="C175" s="1" t="s">
        <v>504</v>
      </c>
      <c r="D175" s="1" t="s">
        <v>502</v>
      </c>
      <c r="E175" s="1">
        <v>143004</v>
      </c>
    </row>
    <row r="176" spans="1:5" x14ac:dyDescent="0.3">
      <c r="A176" s="1" t="s">
        <v>189</v>
      </c>
      <c r="B176" s="1" t="s">
        <v>648</v>
      </c>
      <c r="C176" s="1" t="s">
        <v>506</v>
      </c>
      <c r="D176" s="1" t="s">
        <v>502</v>
      </c>
      <c r="E176" s="1">
        <v>144004</v>
      </c>
    </row>
    <row r="177" spans="1:5" x14ac:dyDescent="0.3">
      <c r="A177" s="1" t="s">
        <v>190</v>
      </c>
      <c r="B177" s="1" t="s">
        <v>649</v>
      </c>
      <c r="C177" s="1" t="s">
        <v>508</v>
      </c>
      <c r="D177" s="1" t="s">
        <v>509</v>
      </c>
      <c r="E177" s="1">
        <v>248004</v>
      </c>
    </row>
    <row r="178" spans="1:5" x14ac:dyDescent="0.3">
      <c r="A178" s="1" t="s">
        <v>191</v>
      </c>
      <c r="B178" s="1" t="s">
        <v>650</v>
      </c>
      <c r="C178" s="1" t="s">
        <v>511</v>
      </c>
      <c r="D178" s="1" t="s">
        <v>512</v>
      </c>
      <c r="E178" s="1">
        <v>171004</v>
      </c>
    </row>
    <row r="179" spans="1:5" x14ac:dyDescent="0.3">
      <c r="A179" s="1" t="s">
        <v>192</v>
      </c>
      <c r="B179" s="1" t="s">
        <v>609</v>
      </c>
      <c r="C179" s="1" t="s">
        <v>514</v>
      </c>
      <c r="D179" s="1" t="s">
        <v>515</v>
      </c>
      <c r="E179" s="1">
        <v>190004</v>
      </c>
    </row>
    <row r="180" spans="1:5" x14ac:dyDescent="0.3">
      <c r="A180" s="1" t="s">
        <v>193</v>
      </c>
      <c r="B180" s="1" t="s">
        <v>651</v>
      </c>
      <c r="C180" s="1" t="s">
        <v>517</v>
      </c>
      <c r="D180" s="1" t="s">
        <v>518</v>
      </c>
      <c r="E180" s="1">
        <v>781004</v>
      </c>
    </row>
    <row r="181" spans="1:5" x14ac:dyDescent="0.3">
      <c r="A181" s="1" t="s">
        <v>194</v>
      </c>
      <c r="B181" s="1" t="s">
        <v>652</v>
      </c>
      <c r="C181" s="1" t="s">
        <v>520</v>
      </c>
      <c r="D181" s="1" t="s">
        <v>521</v>
      </c>
      <c r="E181" s="1">
        <v>795004</v>
      </c>
    </row>
    <row r="182" spans="1:5" x14ac:dyDescent="0.3">
      <c r="A182" s="1" t="s">
        <v>195</v>
      </c>
      <c r="B182" s="1" t="s">
        <v>653</v>
      </c>
      <c r="C182" s="1" t="s">
        <v>523</v>
      </c>
      <c r="D182" s="1" t="s">
        <v>524</v>
      </c>
      <c r="E182" s="1">
        <v>791113</v>
      </c>
    </row>
    <row r="183" spans="1:5" x14ac:dyDescent="0.3">
      <c r="A183" s="1" t="s">
        <v>196</v>
      </c>
      <c r="B183" s="1" t="s">
        <v>654</v>
      </c>
      <c r="C183" s="1" t="s">
        <v>526</v>
      </c>
      <c r="D183" s="1" t="s">
        <v>527</v>
      </c>
      <c r="E183" s="1">
        <v>797004</v>
      </c>
    </row>
    <row r="184" spans="1:5" x14ac:dyDescent="0.3">
      <c r="A184" s="1" t="s">
        <v>197</v>
      </c>
      <c r="B184" s="1" t="s">
        <v>528</v>
      </c>
      <c r="C184" s="1" t="s">
        <v>529</v>
      </c>
      <c r="D184" s="1" t="s">
        <v>530</v>
      </c>
      <c r="E184" s="1">
        <v>796004</v>
      </c>
    </row>
    <row r="185" spans="1:5" x14ac:dyDescent="0.3">
      <c r="A185" s="1" t="s">
        <v>198</v>
      </c>
      <c r="B185" s="1" t="s">
        <v>655</v>
      </c>
      <c r="C185" s="1" t="s">
        <v>532</v>
      </c>
      <c r="D185" s="1" t="s">
        <v>533</v>
      </c>
      <c r="E185" s="1">
        <v>744104</v>
      </c>
    </row>
    <row r="186" spans="1:5" x14ac:dyDescent="0.3">
      <c r="A186" s="1" t="s">
        <v>199</v>
      </c>
      <c r="B186" s="1" t="s">
        <v>656</v>
      </c>
      <c r="C186" s="1" t="s">
        <v>418</v>
      </c>
      <c r="D186" s="1" t="s">
        <v>419</v>
      </c>
      <c r="E186" s="1">
        <v>110005</v>
      </c>
    </row>
    <row r="187" spans="1:5" x14ac:dyDescent="0.3">
      <c r="A187" s="1" t="s">
        <v>200</v>
      </c>
      <c r="B187" s="1" t="s">
        <v>657</v>
      </c>
      <c r="C187" s="1" t="s">
        <v>421</v>
      </c>
      <c r="D187" s="1" t="s">
        <v>422</v>
      </c>
      <c r="E187" s="1">
        <v>700020</v>
      </c>
    </row>
    <row r="188" spans="1:5" x14ac:dyDescent="0.3">
      <c r="A188" s="1" t="s">
        <v>201</v>
      </c>
      <c r="B188" s="1" t="s">
        <v>658</v>
      </c>
      <c r="C188" s="1" t="s">
        <v>424</v>
      </c>
      <c r="D188" s="1" t="s">
        <v>425</v>
      </c>
      <c r="E188" s="1">
        <v>560028</v>
      </c>
    </row>
    <row r="189" spans="1:5" x14ac:dyDescent="0.3">
      <c r="A189" s="1" t="s">
        <v>202</v>
      </c>
      <c r="B189" s="1" t="s">
        <v>659</v>
      </c>
      <c r="C189" s="1" t="s">
        <v>427</v>
      </c>
      <c r="D189" s="1" t="s">
        <v>428</v>
      </c>
      <c r="E189" s="1">
        <v>600020</v>
      </c>
    </row>
    <row r="190" spans="1:5" x14ac:dyDescent="0.3">
      <c r="A190" s="1" t="s">
        <v>203</v>
      </c>
      <c r="B190" s="1" t="s">
        <v>660</v>
      </c>
      <c r="C190" s="1" t="s">
        <v>430</v>
      </c>
      <c r="D190" s="1" t="s">
        <v>431</v>
      </c>
      <c r="E190" s="1">
        <v>400023</v>
      </c>
    </row>
    <row r="191" spans="1:5" x14ac:dyDescent="0.3">
      <c r="A191" s="1" t="s">
        <v>204</v>
      </c>
      <c r="B191" s="1" t="s">
        <v>661</v>
      </c>
      <c r="C191" s="1" t="s">
        <v>433</v>
      </c>
      <c r="D191" s="1" t="s">
        <v>431</v>
      </c>
      <c r="E191" s="1">
        <v>411008</v>
      </c>
    </row>
    <row r="192" spans="1:5" x14ac:dyDescent="0.3">
      <c r="A192" s="1" t="s">
        <v>205</v>
      </c>
      <c r="B192" s="1" t="s">
        <v>622</v>
      </c>
      <c r="C192" s="1" t="s">
        <v>435</v>
      </c>
      <c r="D192" s="1" t="s">
        <v>436</v>
      </c>
      <c r="E192" s="1">
        <v>500036</v>
      </c>
    </row>
    <row r="193" spans="1:5" x14ac:dyDescent="0.3">
      <c r="A193" s="1" t="s">
        <v>206</v>
      </c>
      <c r="B193" s="1" t="s">
        <v>662</v>
      </c>
      <c r="C193" s="1" t="s">
        <v>438</v>
      </c>
      <c r="D193" s="1" t="s">
        <v>439</v>
      </c>
      <c r="E193" s="1">
        <v>380011</v>
      </c>
    </row>
    <row r="194" spans="1:5" x14ac:dyDescent="0.3">
      <c r="A194" s="1" t="s">
        <v>207</v>
      </c>
      <c r="B194" s="1" t="s">
        <v>663</v>
      </c>
      <c r="C194" s="1" t="s">
        <v>441</v>
      </c>
      <c r="D194" s="1" t="s">
        <v>442</v>
      </c>
      <c r="E194" s="1">
        <v>226005</v>
      </c>
    </row>
    <row r="195" spans="1:5" x14ac:dyDescent="0.3">
      <c r="A195" s="1" t="s">
        <v>208</v>
      </c>
      <c r="B195" s="1" t="s">
        <v>664</v>
      </c>
      <c r="C195" s="1" t="s">
        <v>444</v>
      </c>
      <c r="D195" s="1" t="s">
        <v>445</v>
      </c>
      <c r="E195" s="1">
        <v>302006</v>
      </c>
    </row>
    <row r="196" spans="1:5" x14ac:dyDescent="0.3">
      <c r="A196" s="1" t="s">
        <v>209</v>
      </c>
      <c r="B196" s="1" t="s">
        <v>665</v>
      </c>
      <c r="C196" s="1" t="s">
        <v>447</v>
      </c>
      <c r="D196" s="1" t="s">
        <v>447</v>
      </c>
      <c r="E196" s="1">
        <v>160020</v>
      </c>
    </row>
    <row r="197" spans="1:5" x14ac:dyDescent="0.3">
      <c r="A197" s="1" t="s">
        <v>210</v>
      </c>
      <c r="B197" s="1" t="s">
        <v>666</v>
      </c>
      <c r="C197" s="1" t="s">
        <v>449</v>
      </c>
      <c r="D197" s="1" t="s">
        <v>450</v>
      </c>
      <c r="E197" s="1">
        <v>122019</v>
      </c>
    </row>
    <row r="198" spans="1:5" x14ac:dyDescent="0.3">
      <c r="A198" s="1" t="s">
        <v>211</v>
      </c>
      <c r="B198" s="1" t="s">
        <v>667</v>
      </c>
      <c r="C198" s="1" t="s">
        <v>452</v>
      </c>
      <c r="D198" s="1" t="s">
        <v>442</v>
      </c>
      <c r="E198" s="1">
        <v>201305</v>
      </c>
    </row>
    <row r="199" spans="1:5" x14ac:dyDescent="0.3">
      <c r="A199" s="1" t="s">
        <v>212</v>
      </c>
      <c r="B199" s="1" t="s">
        <v>668</v>
      </c>
      <c r="C199" s="1" t="s">
        <v>454</v>
      </c>
      <c r="D199" s="1" t="s">
        <v>442</v>
      </c>
      <c r="E199" s="1">
        <v>201004</v>
      </c>
    </row>
    <row r="200" spans="1:5" x14ac:dyDescent="0.3">
      <c r="A200" s="1" t="s">
        <v>213</v>
      </c>
      <c r="B200" s="1" t="s">
        <v>669</v>
      </c>
      <c r="C200" s="1" t="s">
        <v>454</v>
      </c>
      <c r="D200" s="1" t="s">
        <v>442</v>
      </c>
      <c r="E200" s="1">
        <v>201016</v>
      </c>
    </row>
    <row r="201" spans="1:5" x14ac:dyDescent="0.3">
      <c r="A201" s="1" t="s">
        <v>214</v>
      </c>
      <c r="B201" s="1" t="s">
        <v>670</v>
      </c>
      <c r="C201" s="1" t="s">
        <v>458</v>
      </c>
      <c r="D201" s="1" t="s">
        <v>442</v>
      </c>
      <c r="E201" s="1">
        <v>208005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374D-5F73-4CE3-BFF9-E398B4087B1E}">
  <dimension ref="A1:E201"/>
  <sheetViews>
    <sheetView tabSelected="1" topLeftCell="A114" workbookViewId="0">
      <selection activeCell="H126" sqref="H126"/>
    </sheetView>
  </sheetViews>
  <sheetFormatPr defaultRowHeight="14.4" x14ac:dyDescent="0.3"/>
  <cols>
    <col min="1" max="1" width="17.77734375" bestFit="1" customWidth="1"/>
    <col min="2" max="2" width="18.109375" bestFit="1" customWidth="1"/>
    <col min="3" max="3" width="25.5546875" bestFit="1" customWidth="1"/>
    <col min="6" max="6" width="7" bestFit="1" customWidth="1"/>
  </cols>
  <sheetData>
    <row r="1" spans="1:5" x14ac:dyDescent="0.3">
      <c r="A1" s="1" t="s">
        <v>415</v>
      </c>
      <c r="B1" s="1" t="s">
        <v>673</v>
      </c>
      <c r="C1" s="1" t="s">
        <v>672</v>
      </c>
      <c r="D1" s="1" t="s">
        <v>0</v>
      </c>
      <c r="E1" s="1" t="s">
        <v>671</v>
      </c>
    </row>
    <row r="2" spans="1:5" x14ac:dyDescent="0.3">
      <c r="A2" s="1" t="s">
        <v>416</v>
      </c>
      <c r="B2" s="1" t="s">
        <v>417</v>
      </c>
      <c r="C2" s="1" t="s">
        <v>418</v>
      </c>
      <c r="D2" s="1" t="s">
        <v>5</v>
      </c>
      <c r="E2" s="1">
        <v>110001</v>
      </c>
    </row>
    <row r="3" spans="1:5" x14ac:dyDescent="0.3">
      <c r="A3" s="1" t="s">
        <v>420</v>
      </c>
      <c r="B3" s="1" t="s">
        <v>421</v>
      </c>
      <c r="C3" s="1" t="s">
        <v>422</v>
      </c>
      <c r="D3" s="1" t="s">
        <v>7</v>
      </c>
      <c r="E3" s="1">
        <v>700016</v>
      </c>
    </row>
    <row r="4" spans="1:5" x14ac:dyDescent="0.3">
      <c r="A4" s="1" t="s">
        <v>423</v>
      </c>
      <c r="B4" s="1" t="s">
        <v>424</v>
      </c>
      <c r="C4" s="1" t="s">
        <v>425</v>
      </c>
      <c r="D4" s="1" t="s">
        <v>9</v>
      </c>
      <c r="E4" s="1">
        <v>560001</v>
      </c>
    </row>
    <row r="5" spans="1:5" x14ac:dyDescent="0.3">
      <c r="A5" s="1" t="s">
        <v>426</v>
      </c>
      <c r="B5" s="1" t="s">
        <v>427</v>
      </c>
      <c r="C5" s="1" t="s">
        <v>428</v>
      </c>
      <c r="D5" s="1" t="s">
        <v>11</v>
      </c>
      <c r="E5" s="1">
        <v>600002</v>
      </c>
    </row>
    <row r="6" spans="1:5" x14ac:dyDescent="0.3">
      <c r="A6" s="1" t="s">
        <v>429</v>
      </c>
      <c r="B6" s="1" t="s">
        <v>430</v>
      </c>
      <c r="C6" s="1" t="s">
        <v>431</v>
      </c>
      <c r="D6" s="1" t="s">
        <v>13</v>
      </c>
      <c r="E6" s="1">
        <v>400020</v>
      </c>
    </row>
    <row r="7" spans="1:5" x14ac:dyDescent="0.3">
      <c r="A7" s="1" t="s">
        <v>432</v>
      </c>
      <c r="B7" s="1" t="s">
        <v>433</v>
      </c>
      <c r="C7" s="1" t="s">
        <v>431</v>
      </c>
      <c r="D7" s="1" t="s">
        <v>15</v>
      </c>
      <c r="E7" s="1">
        <v>411001</v>
      </c>
    </row>
    <row r="8" spans="1:5" x14ac:dyDescent="0.3">
      <c r="A8" s="1" t="s">
        <v>434</v>
      </c>
      <c r="B8" s="1" t="s">
        <v>435</v>
      </c>
      <c r="C8" s="1" t="s">
        <v>436</v>
      </c>
      <c r="D8" s="1" t="s">
        <v>17</v>
      </c>
      <c r="E8" s="1">
        <v>500034</v>
      </c>
    </row>
    <row r="9" spans="1:5" x14ac:dyDescent="0.3">
      <c r="A9" s="1" t="s">
        <v>437</v>
      </c>
      <c r="B9" s="1" t="s">
        <v>438</v>
      </c>
      <c r="C9" s="1" t="s">
        <v>439</v>
      </c>
      <c r="D9" s="1" t="s">
        <v>19</v>
      </c>
      <c r="E9" s="1">
        <v>380054</v>
      </c>
    </row>
    <row r="10" spans="1:5" x14ac:dyDescent="0.3">
      <c r="A10" s="1" t="s">
        <v>440</v>
      </c>
      <c r="B10" s="1" t="s">
        <v>441</v>
      </c>
      <c r="C10" s="1" t="s">
        <v>442</v>
      </c>
      <c r="D10" s="1" t="s">
        <v>21</v>
      </c>
      <c r="E10" s="1">
        <v>226001</v>
      </c>
    </row>
    <row r="11" spans="1:5" x14ac:dyDescent="0.3">
      <c r="A11" s="1" t="s">
        <v>443</v>
      </c>
      <c r="B11" s="1" t="s">
        <v>444</v>
      </c>
      <c r="C11" s="1" t="s">
        <v>445</v>
      </c>
      <c r="D11" s="1" t="s">
        <v>23</v>
      </c>
      <c r="E11" s="1">
        <v>302001</v>
      </c>
    </row>
    <row r="12" spans="1:5" x14ac:dyDescent="0.3">
      <c r="A12" s="1" t="s">
        <v>446</v>
      </c>
      <c r="B12" s="1" t="s">
        <v>447</v>
      </c>
      <c r="C12" s="1" t="s">
        <v>447</v>
      </c>
      <c r="D12" s="1" t="s">
        <v>25</v>
      </c>
      <c r="E12" s="1">
        <v>160017</v>
      </c>
    </row>
    <row r="13" spans="1:5" x14ac:dyDescent="0.3">
      <c r="A13" s="1" t="s">
        <v>448</v>
      </c>
      <c r="B13" s="1" t="s">
        <v>449</v>
      </c>
      <c r="C13" s="1" t="s">
        <v>450</v>
      </c>
      <c r="D13" s="1" t="s">
        <v>26</v>
      </c>
      <c r="E13" s="1">
        <v>122015</v>
      </c>
    </row>
    <row r="14" spans="1:5" x14ac:dyDescent="0.3">
      <c r="A14" s="1" t="s">
        <v>451</v>
      </c>
      <c r="B14" s="1" t="s">
        <v>452</v>
      </c>
      <c r="C14" s="1" t="s">
        <v>442</v>
      </c>
      <c r="D14" s="1" t="s">
        <v>27</v>
      </c>
      <c r="E14" s="1">
        <v>201301</v>
      </c>
    </row>
    <row r="15" spans="1:5" x14ac:dyDescent="0.3">
      <c r="A15" s="1" t="s">
        <v>453</v>
      </c>
      <c r="B15" s="1" t="s">
        <v>454</v>
      </c>
      <c r="C15" s="1" t="s">
        <v>442</v>
      </c>
      <c r="D15" s="1" t="s">
        <v>28</v>
      </c>
      <c r="E15" s="1">
        <v>201001</v>
      </c>
    </row>
    <row r="16" spans="1:5" x14ac:dyDescent="0.3">
      <c r="A16" s="1" t="s">
        <v>455</v>
      </c>
      <c r="B16" s="1" t="s">
        <v>456</v>
      </c>
      <c r="C16" s="1" t="s">
        <v>450</v>
      </c>
      <c r="D16" s="1" t="s">
        <v>29</v>
      </c>
      <c r="E16" s="1">
        <v>121007</v>
      </c>
    </row>
    <row r="17" spans="1:5" x14ac:dyDescent="0.3">
      <c r="A17" s="1" t="s">
        <v>457</v>
      </c>
      <c r="B17" s="1" t="s">
        <v>458</v>
      </c>
      <c r="C17" s="1" t="s">
        <v>442</v>
      </c>
      <c r="D17" s="1" t="s">
        <v>30</v>
      </c>
      <c r="E17" s="1">
        <v>208001</v>
      </c>
    </row>
    <row r="18" spans="1:5" x14ac:dyDescent="0.3">
      <c r="A18" s="1" t="s">
        <v>459</v>
      </c>
      <c r="B18" s="1" t="s">
        <v>460</v>
      </c>
      <c r="C18" s="1" t="s">
        <v>439</v>
      </c>
      <c r="D18" s="1" t="s">
        <v>31</v>
      </c>
      <c r="E18" s="1">
        <v>395001</v>
      </c>
    </row>
    <row r="19" spans="1:5" x14ac:dyDescent="0.3">
      <c r="A19" s="1" t="s">
        <v>461</v>
      </c>
      <c r="B19" s="1" t="s">
        <v>462</v>
      </c>
      <c r="C19" s="1" t="s">
        <v>439</v>
      </c>
      <c r="D19" s="1" t="s">
        <v>32</v>
      </c>
      <c r="E19" s="1">
        <v>390007</v>
      </c>
    </row>
    <row r="20" spans="1:5" x14ac:dyDescent="0.3">
      <c r="A20" s="1" t="s">
        <v>463</v>
      </c>
      <c r="B20" s="1" t="s">
        <v>464</v>
      </c>
      <c r="C20" s="1" t="s">
        <v>465</v>
      </c>
      <c r="D20" s="1" t="s">
        <v>33</v>
      </c>
      <c r="E20" s="1">
        <v>462011</v>
      </c>
    </row>
    <row r="21" spans="1:5" x14ac:dyDescent="0.3">
      <c r="A21" s="1" t="s">
        <v>466</v>
      </c>
      <c r="B21" s="1" t="s">
        <v>467</v>
      </c>
      <c r="C21" s="1" t="s">
        <v>465</v>
      </c>
      <c r="D21" s="1" t="s">
        <v>34</v>
      </c>
      <c r="E21" s="1">
        <v>452001</v>
      </c>
    </row>
    <row r="22" spans="1:5" x14ac:dyDescent="0.3">
      <c r="A22" s="1" t="s">
        <v>468</v>
      </c>
      <c r="B22" s="1" t="s">
        <v>469</v>
      </c>
      <c r="C22" s="1" t="s">
        <v>470</v>
      </c>
      <c r="D22" s="1" t="s">
        <v>35</v>
      </c>
      <c r="E22" s="1">
        <v>800001</v>
      </c>
    </row>
    <row r="23" spans="1:5" x14ac:dyDescent="0.3">
      <c r="A23" s="1" t="s">
        <v>471</v>
      </c>
      <c r="B23" s="1" t="s">
        <v>472</v>
      </c>
      <c r="C23" s="1" t="s">
        <v>473</v>
      </c>
      <c r="D23" s="1" t="s">
        <v>36</v>
      </c>
      <c r="E23" s="1">
        <v>834001</v>
      </c>
    </row>
    <row r="24" spans="1:5" x14ac:dyDescent="0.3">
      <c r="A24" s="1" t="s">
        <v>474</v>
      </c>
      <c r="B24" s="1" t="s">
        <v>475</v>
      </c>
      <c r="C24" s="1" t="s">
        <v>476</v>
      </c>
      <c r="D24" s="1" t="s">
        <v>37</v>
      </c>
      <c r="E24" s="1">
        <v>751001</v>
      </c>
    </row>
    <row r="25" spans="1:5" x14ac:dyDescent="0.3">
      <c r="A25" s="1" t="s">
        <v>477</v>
      </c>
      <c r="B25" s="1" t="s">
        <v>478</v>
      </c>
      <c r="C25" s="1" t="s">
        <v>428</v>
      </c>
      <c r="D25" s="1" t="s">
        <v>38</v>
      </c>
      <c r="E25" s="1">
        <v>641018</v>
      </c>
    </row>
    <row r="26" spans="1:5" x14ac:dyDescent="0.3">
      <c r="A26" s="1" t="s">
        <v>479</v>
      </c>
      <c r="B26" s="1" t="s">
        <v>480</v>
      </c>
      <c r="C26" s="1" t="s">
        <v>481</v>
      </c>
      <c r="D26" s="1" t="s">
        <v>39</v>
      </c>
      <c r="E26" s="1">
        <v>682016</v>
      </c>
    </row>
    <row r="27" spans="1:5" x14ac:dyDescent="0.3">
      <c r="A27" s="1" t="s">
        <v>482</v>
      </c>
      <c r="B27" s="1" t="s">
        <v>483</v>
      </c>
      <c r="C27" s="1" t="s">
        <v>481</v>
      </c>
      <c r="D27" s="1" t="s">
        <v>40</v>
      </c>
      <c r="E27" s="1">
        <v>695014</v>
      </c>
    </row>
    <row r="28" spans="1:5" x14ac:dyDescent="0.3">
      <c r="A28" s="1" t="s">
        <v>484</v>
      </c>
      <c r="B28" s="1" t="s">
        <v>485</v>
      </c>
      <c r="C28" s="1" t="s">
        <v>425</v>
      </c>
      <c r="D28" s="1" t="s">
        <v>41</v>
      </c>
      <c r="E28" s="1">
        <v>570001</v>
      </c>
    </row>
    <row r="29" spans="1:5" x14ac:dyDescent="0.3">
      <c r="A29" s="1" t="s">
        <v>486</v>
      </c>
      <c r="B29" s="1" t="s">
        <v>487</v>
      </c>
      <c r="C29" s="1" t="s">
        <v>431</v>
      </c>
      <c r="D29" s="1" t="s">
        <v>42</v>
      </c>
      <c r="E29" s="1">
        <v>440012</v>
      </c>
    </row>
    <row r="30" spans="1:5" x14ac:dyDescent="0.3">
      <c r="A30" s="1" t="s">
        <v>488</v>
      </c>
      <c r="B30" s="1" t="s">
        <v>489</v>
      </c>
      <c r="C30" s="1" t="s">
        <v>431</v>
      </c>
      <c r="D30" s="1" t="s">
        <v>43</v>
      </c>
      <c r="E30" s="1">
        <v>422001</v>
      </c>
    </row>
    <row r="31" spans="1:5" x14ac:dyDescent="0.3">
      <c r="A31" s="1" t="s">
        <v>490</v>
      </c>
      <c r="B31" s="1" t="s">
        <v>491</v>
      </c>
      <c r="C31" s="1" t="s">
        <v>445</v>
      </c>
      <c r="D31" s="1" t="s">
        <v>44</v>
      </c>
      <c r="E31" s="1">
        <v>342001</v>
      </c>
    </row>
    <row r="32" spans="1:5" x14ac:dyDescent="0.3">
      <c r="A32" s="1" t="s">
        <v>492</v>
      </c>
      <c r="B32" s="1" t="s">
        <v>493</v>
      </c>
      <c r="C32" s="1" t="s">
        <v>445</v>
      </c>
      <c r="D32" s="1" t="s">
        <v>45</v>
      </c>
      <c r="E32" s="1">
        <v>313001</v>
      </c>
    </row>
    <row r="33" spans="1:5" x14ac:dyDescent="0.3">
      <c r="A33" s="1" t="s">
        <v>494</v>
      </c>
      <c r="B33" s="1" t="s">
        <v>495</v>
      </c>
      <c r="C33" s="1" t="s">
        <v>442</v>
      </c>
      <c r="D33" s="1" t="s">
        <v>46</v>
      </c>
      <c r="E33" s="1">
        <v>282002</v>
      </c>
    </row>
    <row r="34" spans="1:5" x14ac:dyDescent="0.3">
      <c r="A34" s="1" t="s">
        <v>496</v>
      </c>
      <c r="B34" s="1" t="s">
        <v>497</v>
      </c>
      <c r="C34" s="1" t="s">
        <v>442</v>
      </c>
      <c r="D34" s="1" t="s">
        <v>47</v>
      </c>
      <c r="E34" s="1">
        <v>221001</v>
      </c>
    </row>
    <row r="35" spans="1:5" x14ac:dyDescent="0.3">
      <c r="A35" s="1" t="s">
        <v>498</v>
      </c>
      <c r="B35" s="1" t="s">
        <v>499</v>
      </c>
      <c r="C35" s="1" t="s">
        <v>442</v>
      </c>
      <c r="D35" s="1" t="s">
        <v>48</v>
      </c>
      <c r="E35" s="1">
        <v>250001</v>
      </c>
    </row>
    <row r="36" spans="1:5" x14ac:dyDescent="0.3">
      <c r="A36" s="1" t="s">
        <v>500</v>
      </c>
      <c r="B36" s="1" t="s">
        <v>501</v>
      </c>
      <c r="C36" s="1" t="s">
        <v>502</v>
      </c>
      <c r="D36" s="1" t="s">
        <v>49</v>
      </c>
      <c r="E36" s="1">
        <v>141001</v>
      </c>
    </row>
    <row r="37" spans="1:5" x14ac:dyDescent="0.3">
      <c r="A37" s="1" t="s">
        <v>503</v>
      </c>
      <c r="B37" s="1" t="s">
        <v>504</v>
      </c>
      <c r="C37" s="1" t="s">
        <v>502</v>
      </c>
      <c r="D37" s="1" t="s">
        <v>50</v>
      </c>
      <c r="E37" s="1">
        <v>143001</v>
      </c>
    </row>
    <row r="38" spans="1:5" x14ac:dyDescent="0.3">
      <c r="A38" s="1" t="s">
        <v>505</v>
      </c>
      <c r="B38" s="1" t="s">
        <v>506</v>
      </c>
      <c r="C38" s="1" t="s">
        <v>502</v>
      </c>
      <c r="D38" s="1" t="s">
        <v>51</v>
      </c>
      <c r="E38" s="1">
        <v>144001</v>
      </c>
    </row>
    <row r="39" spans="1:5" x14ac:dyDescent="0.3">
      <c r="A39" s="1" t="s">
        <v>507</v>
      </c>
      <c r="B39" s="1" t="s">
        <v>508</v>
      </c>
      <c r="C39" s="1" t="s">
        <v>509</v>
      </c>
      <c r="D39" s="1" t="s">
        <v>52</v>
      </c>
      <c r="E39" s="1">
        <v>248001</v>
      </c>
    </row>
    <row r="40" spans="1:5" x14ac:dyDescent="0.3">
      <c r="A40" s="1" t="s">
        <v>510</v>
      </c>
      <c r="B40" s="1" t="s">
        <v>511</v>
      </c>
      <c r="C40" s="1" t="s">
        <v>512</v>
      </c>
      <c r="D40" s="1" t="s">
        <v>53</v>
      </c>
      <c r="E40" s="1">
        <v>171001</v>
      </c>
    </row>
    <row r="41" spans="1:5" x14ac:dyDescent="0.3">
      <c r="A41" s="1" t="s">
        <v>513</v>
      </c>
      <c r="B41" s="1" t="s">
        <v>514</v>
      </c>
      <c r="C41" s="1" t="s">
        <v>515</v>
      </c>
      <c r="D41" s="1" t="s">
        <v>54</v>
      </c>
      <c r="E41" s="1">
        <v>190001</v>
      </c>
    </row>
    <row r="42" spans="1:5" x14ac:dyDescent="0.3">
      <c r="A42" s="1" t="s">
        <v>516</v>
      </c>
      <c r="B42" s="1" t="s">
        <v>517</v>
      </c>
      <c r="C42" s="1" t="s">
        <v>518</v>
      </c>
      <c r="D42" s="1" t="s">
        <v>55</v>
      </c>
      <c r="E42" s="1">
        <v>781001</v>
      </c>
    </row>
    <row r="43" spans="1:5" x14ac:dyDescent="0.3">
      <c r="A43" s="1" t="s">
        <v>519</v>
      </c>
      <c r="B43" s="1" t="s">
        <v>520</v>
      </c>
      <c r="C43" s="1" t="s">
        <v>521</v>
      </c>
      <c r="D43" s="1" t="s">
        <v>56</v>
      </c>
      <c r="E43" s="1">
        <v>795001</v>
      </c>
    </row>
    <row r="44" spans="1:5" x14ac:dyDescent="0.3">
      <c r="A44" s="1" t="s">
        <v>522</v>
      </c>
      <c r="B44" s="1" t="s">
        <v>523</v>
      </c>
      <c r="C44" s="1" t="s">
        <v>524</v>
      </c>
      <c r="D44" s="1" t="s">
        <v>57</v>
      </c>
      <c r="E44" s="1">
        <v>791111</v>
      </c>
    </row>
    <row r="45" spans="1:5" x14ac:dyDescent="0.3">
      <c r="A45" s="1" t="s">
        <v>525</v>
      </c>
      <c r="B45" s="1" t="s">
        <v>526</v>
      </c>
      <c r="C45" s="1" t="s">
        <v>527</v>
      </c>
      <c r="D45" s="1" t="s">
        <v>58</v>
      </c>
      <c r="E45" s="1">
        <v>797001</v>
      </c>
    </row>
    <row r="46" spans="1:5" x14ac:dyDescent="0.3">
      <c r="A46" s="1" t="s">
        <v>528</v>
      </c>
      <c r="B46" s="1" t="s">
        <v>529</v>
      </c>
      <c r="C46" s="1" t="s">
        <v>530</v>
      </c>
      <c r="D46" s="1" t="s">
        <v>59</v>
      </c>
      <c r="E46" s="1">
        <v>796001</v>
      </c>
    </row>
    <row r="47" spans="1:5" x14ac:dyDescent="0.3">
      <c r="A47" s="1" t="s">
        <v>531</v>
      </c>
      <c r="B47" s="1" t="s">
        <v>532</v>
      </c>
      <c r="C47" s="1" t="s">
        <v>533</v>
      </c>
      <c r="D47" s="1" t="s">
        <v>60</v>
      </c>
      <c r="E47" s="1">
        <v>744101</v>
      </c>
    </row>
    <row r="48" spans="1:5" x14ac:dyDescent="0.3">
      <c r="A48" s="1" t="s">
        <v>534</v>
      </c>
      <c r="B48" s="1" t="s">
        <v>418</v>
      </c>
      <c r="C48" s="1" t="s">
        <v>419</v>
      </c>
      <c r="D48" s="1" t="s">
        <v>61</v>
      </c>
      <c r="E48" s="1">
        <v>110002</v>
      </c>
    </row>
    <row r="49" spans="1:5" x14ac:dyDescent="0.3">
      <c r="A49" s="1" t="s">
        <v>535</v>
      </c>
      <c r="B49" s="1" t="s">
        <v>421</v>
      </c>
      <c r="C49" s="1" t="s">
        <v>422</v>
      </c>
      <c r="D49" s="1" t="s">
        <v>62</v>
      </c>
      <c r="E49" s="1">
        <v>700017</v>
      </c>
    </row>
    <row r="50" spans="1:5" x14ac:dyDescent="0.3">
      <c r="A50" s="1" t="s">
        <v>536</v>
      </c>
      <c r="B50" s="1" t="s">
        <v>424</v>
      </c>
      <c r="C50" s="1" t="s">
        <v>425</v>
      </c>
      <c r="D50" s="1" t="s">
        <v>63</v>
      </c>
      <c r="E50" s="1">
        <v>560002</v>
      </c>
    </row>
    <row r="51" spans="1:5" x14ac:dyDescent="0.3">
      <c r="A51" s="1" t="s">
        <v>537</v>
      </c>
      <c r="B51" s="1" t="s">
        <v>427</v>
      </c>
      <c r="C51" s="1" t="s">
        <v>428</v>
      </c>
      <c r="D51" s="1" t="s">
        <v>64</v>
      </c>
      <c r="E51" s="1">
        <v>600017</v>
      </c>
    </row>
    <row r="52" spans="1:5" x14ac:dyDescent="0.3">
      <c r="A52" s="1" t="s">
        <v>538</v>
      </c>
      <c r="B52" s="1" t="s">
        <v>430</v>
      </c>
      <c r="C52" s="1" t="s">
        <v>431</v>
      </c>
      <c r="D52" s="1" t="s">
        <v>65</v>
      </c>
      <c r="E52" s="1">
        <v>400005</v>
      </c>
    </row>
    <row r="53" spans="1:5" x14ac:dyDescent="0.3">
      <c r="A53" s="1" t="s">
        <v>539</v>
      </c>
      <c r="B53" s="1" t="s">
        <v>433</v>
      </c>
      <c r="C53" s="1" t="s">
        <v>431</v>
      </c>
      <c r="D53" s="1" t="s">
        <v>66</v>
      </c>
      <c r="E53" s="1">
        <v>411001</v>
      </c>
    </row>
    <row r="54" spans="1:5" x14ac:dyDescent="0.3">
      <c r="A54" s="1" t="s">
        <v>434</v>
      </c>
      <c r="B54" s="1" t="s">
        <v>435</v>
      </c>
      <c r="C54" s="1" t="s">
        <v>436</v>
      </c>
      <c r="D54" s="1" t="s">
        <v>67</v>
      </c>
      <c r="E54" s="1">
        <v>500034</v>
      </c>
    </row>
    <row r="55" spans="1:5" x14ac:dyDescent="0.3">
      <c r="A55" s="1" t="s">
        <v>540</v>
      </c>
      <c r="B55" s="1" t="s">
        <v>438</v>
      </c>
      <c r="C55" s="1" t="s">
        <v>439</v>
      </c>
      <c r="D55" s="1" t="s">
        <v>68</v>
      </c>
      <c r="E55" s="1">
        <v>380009</v>
      </c>
    </row>
    <row r="56" spans="1:5" x14ac:dyDescent="0.3">
      <c r="A56" s="1" t="s">
        <v>541</v>
      </c>
      <c r="B56" s="1" t="s">
        <v>441</v>
      </c>
      <c r="C56" s="1" t="s">
        <v>442</v>
      </c>
      <c r="D56" s="1" t="s">
        <v>69</v>
      </c>
      <c r="E56" s="1">
        <v>226002</v>
      </c>
    </row>
    <row r="57" spans="1:5" x14ac:dyDescent="0.3">
      <c r="A57" s="1" t="s">
        <v>542</v>
      </c>
      <c r="B57" s="1" t="s">
        <v>444</v>
      </c>
      <c r="C57" s="1" t="s">
        <v>445</v>
      </c>
      <c r="D57" s="1" t="s">
        <v>70</v>
      </c>
      <c r="E57" s="1">
        <v>302003</v>
      </c>
    </row>
    <row r="58" spans="1:5" x14ac:dyDescent="0.3">
      <c r="A58" s="1" t="s">
        <v>543</v>
      </c>
      <c r="B58" s="1" t="s">
        <v>447</v>
      </c>
      <c r="C58" s="1" t="s">
        <v>447</v>
      </c>
      <c r="D58" s="1" t="s">
        <v>71</v>
      </c>
      <c r="E58" s="1">
        <v>160016</v>
      </c>
    </row>
    <row r="59" spans="1:5" x14ac:dyDescent="0.3">
      <c r="A59" s="1" t="s">
        <v>544</v>
      </c>
      <c r="B59" s="1" t="s">
        <v>449</v>
      </c>
      <c r="C59" s="1" t="s">
        <v>450</v>
      </c>
      <c r="D59" s="1" t="s">
        <v>72</v>
      </c>
      <c r="E59" s="1">
        <v>122016</v>
      </c>
    </row>
    <row r="60" spans="1:5" x14ac:dyDescent="0.3">
      <c r="A60" s="1" t="s">
        <v>545</v>
      </c>
      <c r="B60" s="1" t="s">
        <v>452</v>
      </c>
      <c r="C60" s="1" t="s">
        <v>442</v>
      </c>
      <c r="D60" s="1" t="s">
        <v>73</v>
      </c>
      <c r="E60" s="1">
        <v>201309</v>
      </c>
    </row>
    <row r="61" spans="1:5" x14ac:dyDescent="0.3">
      <c r="A61" s="1" t="s">
        <v>546</v>
      </c>
      <c r="B61" s="1" t="s">
        <v>454</v>
      </c>
      <c r="C61" s="1" t="s">
        <v>442</v>
      </c>
      <c r="D61" s="1" t="s">
        <v>74</v>
      </c>
      <c r="E61" s="1">
        <v>201010</v>
      </c>
    </row>
    <row r="62" spans="1:5" x14ac:dyDescent="0.3">
      <c r="A62" s="1" t="s">
        <v>547</v>
      </c>
      <c r="B62" s="1" t="s">
        <v>456</v>
      </c>
      <c r="C62" s="1" t="s">
        <v>450</v>
      </c>
      <c r="D62" s="1" t="s">
        <v>75</v>
      </c>
      <c r="E62" s="1">
        <v>121002</v>
      </c>
    </row>
    <row r="63" spans="1:5" x14ac:dyDescent="0.3">
      <c r="A63" s="1" t="s">
        <v>548</v>
      </c>
      <c r="B63" s="1" t="s">
        <v>458</v>
      </c>
      <c r="C63" s="1" t="s">
        <v>442</v>
      </c>
      <c r="D63" s="1" t="s">
        <v>76</v>
      </c>
      <c r="E63" s="1">
        <v>208002</v>
      </c>
    </row>
    <row r="64" spans="1:5" x14ac:dyDescent="0.3">
      <c r="A64" s="1" t="s">
        <v>549</v>
      </c>
      <c r="B64" s="1" t="s">
        <v>460</v>
      </c>
      <c r="C64" s="1" t="s">
        <v>439</v>
      </c>
      <c r="D64" s="1" t="s">
        <v>77</v>
      </c>
      <c r="E64" s="1">
        <v>395003</v>
      </c>
    </row>
    <row r="65" spans="1:5" x14ac:dyDescent="0.3">
      <c r="A65" s="1" t="s">
        <v>550</v>
      </c>
      <c r="B65" s="1" t="s">
        <v>462</v>
      </c>
      <c r="C65" s="1" t="s">
        <v>439</v>
      </c>
      <c r="D65" s="1" t="s">
        <v>78</v>
      </c>
      <c r="E65" s="1">
        <v>390005</v>
      </c>
    </row>
    <row r="66" spans="1:5" x14ac:dyDescent="0.3">
      <c r="A66" s="1" t="s">
        <v>551</v>
      </c>
      <c r="B66" s="1" t="s">
        <v>464</v>
      </c>
      <c r="C66" s="1" t="s">
        <v>465</v>
      </c>
      <c r="D66" s="1" t="s">
        <v>79</v>
      </c>
      <c r="E66" s="1">
        <v>462003</v>
      </c>
    </row>
    <row r="67" spans="1:5" x14ac:dyDescent="0.3">
      <c r="A67" s="1" t="s">
        <v>552</v>
      </c>
      <c r="B67" s="1" t="s">
        <v>467</v>
      </c>
      <c r="C67" s="1" t="s">
        <v>465</v>
      </c>
      <c r="D67" s="1" t="s">
        <v>80</v>
      </c>
      <c r="E67" s="1">
        <v>452002</v>
      </c>
    </row>
    <row r="68" spans="1:5" x14ac:dyDescent="0.3">
      <c r="A68" s="1" t="s">
        <v>553</v>
      </c>
      <c r="B68" s="1" t="s">
        <v>469</v>
      </c>
      <c r="C68" s="1" t="s">
        <v>470</v>
      </c>
      <c r="D68" s="1" t="s">
        <v>81</v>
      </c>
      <c r="E68" s="1">
        <v>800020</v>
      </c>
    </row>
    <row r="69" spans="1:5" x14ac:dyDescent="0.3">
      <c r="A69" s="1" t="s">
        <v>554</v>
      </c>
      <c r="B69" s="1" t="s">
        <v>472</v>
      </c>
      <c r="C69" s="1" t="s">
        <v>473</v>
      </c>
      <c r="D69" s="1" t="s">
        <v>82</v>
      </c>
      <c r="E69" s="1">
        <v>834002</v>
      </c>
    </row>
    <row r="70" spans="1:5" x14ac:dyDescent="0.3">
      <c r="A70" s="1" t="s">
        <v>555</v>
      </c>
      <c r="B70" s="1" t="s">
        <v>475</v>
      </c>
      <c r="C70" s="1" t="s">
        <v>476</v>
      </c>
      <c r="D70" s="1" t="s">
        <v>83</v>
      </c>
      <c r="E70" s="1">
        <v>751002</v>
      </c>
    </row>
    <row r="71" spans="1:5" x14ac:dyDescent="0.3">
      <c r="A71" s="1" t="s">
        <v>556</v>
      </c>
      <c r="B71" s="1" t="s">
        <v>478</v>
      </c>
      <c r="C71" s="1" t="s">
        <v>428</v>
      </c>
      <c r="D71" s="1" t="s">
        <v>84</v>
      </c>
      <c r="E71" s="1">
        <v>641012</v>
      </c>
    </row>
    <row r="72" spans="1:5" x14ac:dyDescent="0.3">
      <c r="A72" s="1" t="s">
        <v>557</v>
      </c>
      <c r="B72" s="1" t="s">
        <v>480</v>
      </c>
      <c r="C72" s="1" t="s">
        <v>481</v>
      </c>
      <c r="D72" s="1" t="s">
        <v>85</v>
      </c>
      <c r="E72" s="1">
        <v>682002</v>
      </c>
    </row>
    <row r="73" spans="1:5" x14ac:dyDescent="0.3">
      <c r="A73" s="1" t="s">
        <v>558</v>
      </c>
      <c r="B73" s="1" t="s">
        <v>483</v>
      </c>
      <c r="C73" s="1" t="s">
        <v>481</v>
      </c>
      <c r="D73" s="1" t="s">
        <v>86</v>
      </c>
      <c r="E73" s="1">
        <v>695004</v>
      </c>
    </row>
    <row r="74" spans="1:5" x14ac:dyDescent="0.3">
      <c r="A74" s="1" t="s">
        <v>559</v>
      </c>
      <c r="B74" s="1" t="s">
        <v>485</v>
      </c>
      <c r="C74" s="1" t="s">
        <v>425</v>
      </c>
      <c r="D74" s="1" t="s">
        <v>87</v>
      </c>
      <c r="E74" s="1">
        <v>570010</v>
      </c>
    </row>
    <row r="75" spans="1:5" x14ac:dyDescent="0.3">
      <c r="A75" s="1" t="s">
        <v>560</v>
      </c>
      <c r="B75" s="1" t="s">
        <v>487</v>
      </c>
      <c r="C75" s="1" t="s">
        <v>431</v>
      </c>
      <c r="D75" s="1" t="s">
        <v>88</v>
      </c>
      <c r="E75" s="1">
        <v>440010</v>
      </c>
    </row>
    <row r="76" spans="1:5" x14ac:dyDescent="0.3">
      <c r="A76" s="1" t="s">
        <v>561</v>
      </c>
      <c r="B76" s="1" t="s">
        <v>489</v>
      </c>
      <c r="C76" s="1" t="s">
        <v>431</v>
      </c>
      <c r="D76" s="1" t="s">
        <v>89</v>
      </c>
      <c r="E76" s="1">
        <v>422002</v>
      </c>
    </row>
    <row r="77" spans="1:5" x14ac:dyDescent="0.3">
      <c r="A77" s="1" t="s">
        <v>562</v>
      </c>
      <c r="B77" s="1" t="s">
        <v>491</v>
      </c>
      <c r="C77" s="1" t="s">
        <v>445</v>
      </c>
      <c r="D77" s="1" t="s">
        <v>90</v>
      </c>
      <c r="E77" s="1">
        <v>342002</v>
      </c>
    </row>
    <row r="78" spans="1:5" x14ac:dyDescent="0.3">
      <c r="A78" s="1" t="s">
        <v>563</v>
      </c>
      <c r="B78" s="1" t="s">
        <v>493</v>
      </c>
      <c r="C78" s="1" t="s">
        <v>445</v>
      </c>
      <c r="D78" s="1" t="s">
        <v>91</v>
      </c>
      <c r="E78" s="1">
        <v>313002</v>
      </c>
    </row>
    <row r="79" spans="1:5" x14ac:dyDescent="0.3">
      <c r="A79" s="1" t="s">
        <v>564</v>
      </c>
      <c r="B79" s="1" t="s">
        <v>495</v>
      </c>
      <c r="C79" s="1" t="s">
        <v>442</v>
      </c>
      <c r="D79" s="1" t="s">
        <v>92</v>
      </c>
      <c r="E79" s="1">
        <v>282003</v>
      </c>
    </row>
    <row r="80" spans="1:5" x14ac:dyDescent="0.3">
      <c r="A80" s="1" t="s">
        <v>565</v>
      </c>
      <c r="B80" s="1" t="s">
        <v>497</v>
      </c>
      <c r="C80" s="1" t="s">
        <v>442</v>
      </c>
      <c r="D80" s="1" t="s">
        <v>93</v>
      </c>
      <c r="E80" s="1">
        <v>221002</v>
      </c>
    </row>
    <row r="81" spans="1:5" x14ac:dyDescent="0.3">
      <c r="A81" s="1" t="s">
        <v>566</v>
      </c>
      <c r="B81" s="1" t="s">
        <v>499</v>
      </c>
      <c r="C81" s="1" t="s">
        <v>442</v>
      </c>
      <c r="D81" s="1" t="s">
        <v>94</v>
      </c>
      <c r="E81" s="1">
        <v>250002</v>
      </c>
    </row>
    <row r="82" spans="1:5" x14ac:dyDescent="0.3">
      <c r="A82" s="1" t="s">
        <v>567</v>
      </c>
      <c r="B82" s="1" t="s">
        <v>501</v>
      </c>
      <c r="C82" s="1" t="s">
        <v>502</v>
      </c>
      <c r="D82" s="1" t="s">
        <v>95</v>
      </c>
      <c r="E82" s="1">
        <v>141002</v>
      </c>
    </row>
    <row r="83" spans="1:5" x14ac:dyDescent="0.3">
      <c r="A83" s="1" t="s">
        <v>503</v>
      </c>
      <c r="B83" s="1" t="s">
        <v>504</v>
      </c>
      <c r="C83" s="1" t="s">
        <v>502</v>
      </c>
      <c r="D83" s="1" t="s">
        <v>96</v>
      </c>
      <c r="E83" s="1">
        <v>143002</v>
      </c>
    </row>
    <row r="84" spans="1:5" x14ac:dyDescent="0.3">
      <c r="A84" s="1" t="s">
        <v>505</v>
      </c>
      <c r="B84" s="1" t="s">
        <v>506</v>
      </c>
      <c r="C84" s="1" t="s">
        <v>502</v>
      </c>
      <c r="D84" s="1" t="s">
        <v>97</v>
      </c>
      <c r="E84" s="1">
        <v>144002</v>
      </c>
    </row>
    <row r="85" spans="1:5" x14ac:dyDescent="0.3">
      <c r="A85" s="1" t="s">
        <v>568</v>
      </c>
      <c r="B85" s="1" t="s">
        <v>508</v>
      </c>
      <c r="C85" s="1" t="s">
        <v>509</v>
      </c>
      <c r="D85" s="1" t="s">
        <v>98</v>
      </c>
      <c r="E85" s="1">
        <v>248002</v>
      </c>
    </row>
    <row r="86" spans="1:5" x14ac:dyDescent="0.3">
      <c r="A86" s="1" t="s">
        <v>510</v>
      </c>
      <c r="B86" s="1" t="s">
        <v>511</v>
      </c>
      <c r="C86" s="1" t="s">
        <v>512</v>
      </c>
      <c r="D86" s="1" t="s">
        <v>99</v>
      </c>
      <c r="E86" s="1">
        <v>171002</v>
      </c>
    </row>
    <row r="87" spans="1:5" x14ac:dyDescent="0.3">
      <c r="A87" s="1" t="s">
        <v>513</v>
      </c>
      <c r="B87" s="1" t="s">
        <v>514</v>
      </c>
      <c r="C87" s="1" t="s">
        <v>515</v>
      </c>
      <c r="D87" s="1" t="s">
        <v>100</v>
      </c>
      <c r="E87" s="1">
        <v>190002</v>
      </c>
    </row>
    <row r="88" spans="1:5" x14ac:dyDescent="0.3">
      <c r="A88" s="1" t="s">
        <v>516</v>
      </c>
      <c r="B88" s="1" t="s">
        <v>517</v>
      </c>
      <c r="C88" s="1" t="s">
        <v>518</v>
      </c>
      <c r="D88" s="1" t="s">
        <v>101</v>
      </c>
      <c r="E88" s="1">
        <v>781002</v>
      </c>
    </row>
    <row r="89" spans="1:5" x14ac:dyDescent="0.3">
      <c r="A89" s="1" t="s">
        <v>569</v>
      </c>
      <c r="B89" s="1" t="s">
        <v>520</v>
      </c>
      <c r="C89" s="1" t="s">
        <v>521</v>
      </c>
      <c r="D89" s="1" t="s">
        <v>102</v>
      </c>
      <c r="E89" s="1">
        <v>795002</v>
      </c>
    </row>
    <row r="90" spans="1:5" x14ac:dyDescent="0.3">
      <c r="A90" s="1" t="s">
        <v>570</v>
      </c>
      <c r="B90" s="1" t="s">
        <v>523</v>
      </c>
      <c r="C90" s="1" t="s">
        <v>524</v>
      </c>
      <c r="D90" s="1" t="s">
        <v>103</v>
      </c>
      <c r="E90" s="1">
        <v>791112</v>
      </c>
    </row>
    <row r="91" spans="1:5" x14ac:dyDescent="0.3">
      <c r="A91" s="1" t="s">
        <v>571</v>
      </c>
      <c r="B91" s="1" t="s">
        <v>526</v>
      </c>
      <c r="C91" s="1" t="s">
        <v>527</v>
      </c>
      <c r="D91" s="1" t="s">
        <v>104</v>
      </c>
      <c r="E91" s="1">
        <v>797002</v>
      </c>
    </row>
    <row r="92" spans="1:5" x14ac:dyDescent="0.3">
      <c r="A92" s="1" t="s">
        <v>572</v>
      </c>
      <c r="B92" s="1" t="s">
        <v>529</v>
      </c>
      <c r="C92" s="1" t="s">
        <v>530</v>
      </c>
      <c r="D92" s="1" t="s">
        <v>105</v>
      </c>
      <c r="E92" s="1">
        <v>796002</v>
      </c>
    </row>
    <row r="93" spans="1:5" x14ac:dyDescent="0.3">
      <c r="A93" s="1" t="s">
        <v>573</v>
      </c>
      <c r="B93" s="1" t="s">
        <v>532</v>
      </c>
      <c r="C93" s="1" t="s">
        <v>533</v>
      </c>
      <c r="D93" s="1" t="s">
        <v>106</v>
      </c>
      <c r="E93" s="1">
        <v>744102</v>
      </c>
    </row>
    <row r="94" spans="1:5" x14ac:dyDescent="0.3">
      <c r="A94" s="1" t="s">
        <v>574</v>
      </c>
      <c r="B94" s="1" t="s">
        <v>418</v>
      </c>
      <c r="C94" s="1" t="s">
        <v>419</v>
      </c>
      <c r="D94" s="1" t="s">
        <v>107</v>
      </c>
      <c r="E94" s="1">
        <v>110003</v>
      </c>
    </row>
    <row r="95" spans="1:5" x14ac:dyDescent="0.3">
      <c r="A95" s="1" t="s">
        <v>575</v>
      </c>
      <c r="B95" s="1" t="s">
        <v>421</v>
      </c>
      <c r="C95" s="1" t="s">
        <v>422</v>
      </c>
      <c r="D95" s="1" t="s">
        <v>108</v>
      </c>
      <c r="E95" s="1">
        <v>700018</v>
      </c>
    </row>
    <row r="96" spans="1:5" x14ac:dyDescent="0.3">
      <c r="A96" s="1" t="s">
        <v>423</v>
      </c>
      <c r="B96" s="1" t="s">
        <v>424</v>
      </c>
      <c r="C96" s="1" t="s">
        <v>425</v>
      </c>
      <c r="D96" s="1" t="s">
        <v>109</v>
      </c>
      <c r="E96" s="1">
        <v>560025</v>
      </c>
    </row>
    <row r="97" spans="1:5" x14ac:dyDescent="0.3">
      <c r="A97" s="1" t="s">
        <v>576</v>
      </c>
      <c r="B97" s="1" t="s">
        <v>427</v>
      </c>
      <c r="C97" s="1" t="s">
        <v>428</v>
      </c>
      <c r="D97" s="1" t="s">
        <v>110</v>
      </c>
      <c r="E97" s="1">
        <v>600018</v>
      </c>
    </row>
    <row r="98" spans="1:5" x14ac:dyDescent="0.3">
      <c r="A98" s="1" t="s">
        <v>577</v>
      </c>
      <c r="B98" s="1" t="s">
        <v>430</v>
      </c>
      <c r="C98" s="1" t="s">
        <v>431</v>
      </c>
      <c r="D98" s="1" t="s">
        <v>111</v>
      </c>
      <c r="E98" s="1">
        <v>400021</v>
      </c>
    </row>
    <row r="99" spans="1:5" x14ac:dyDescent="0.3">
      <c r="A99" s="1" t="s">
        <v>539</v>
      </c>
      <c r="B99" s="1" t="s">
        <v>433</v>
      </c>
      <c r="C99" s="1" t="s">
        <v>431</v>
      </c>
      <c r="D99" s="1" t="s">
        <v>112</v>
      </c>
      <c r="E99" s="1">
        <v>411006</v>
      </c>
    </row>
    <row r="100" spans="1:5" x14ac:dyDescent="0.3">
      <c r="A100" s="1" t="s">
        <v>578</v>
      </c>
      <c r="B100" s="1" t="s">
        <v>435</v>
      </c>
      <c r="C100" s="1" t="s">
        <v>436</v>
      </c>
      <c r="D100" s="1" t="s">
        <v>113</v>
      </c>
      <c r="E100" s="1">
        <v>500082</v>
      </c>
    </row>
    <row r="101" spans="1:5" x14ac:dyDescent="0.3">
      <c r="A101" s="1" t="s">
        <v>579</v>
      </c>
      <c r="B101" s="1" t="s">
        <v>438</v>
      </c>
      <c r="C101" s="1" t="s">
        <v>439</v>
      </c>
      <c r="D101" s="1" t="s">
        <v>114</v>
      </c>
      <c r="E101" s="1">
        <v>380015</v>
      </c>
    </row>
    <row r="102" spans="1:5" x14ac:dyDescent="0.3">
      <c r="A102" s="1" t="s">
        <v>580</v>
      </c>
      <c r="B102" s="1" t="s">
        <v>441</v>
      </c>
      <c r="C102" s="1" t="s">
        <v>442</v>
      </c>
      <c r="D102" s="1" t="s">
        <v>115</v>
      </c>
      <c r="E102" s="1">
        <v>226003</v>
      </c>
    </row>
    <row r="103" spans="1:5" x14ac:dyDescent="0.3">
      <c r="A103" s="1" t="s">
        <v>581</v>
      </c>
      <c r="B103" s="1" t="s">
        <v>444</v>
      </c>
      <c r="C103" s="1" t="s">
        <v>445</v>
      </c>
      <c r="D103" s="1" t="s">
        <v>116</v>
      </c>
      <c r="E103" s="1">
        <v>302004</v>
      </c>
    </row>
    <row r="104" spans="1:5" x14ac:dyDescent="0.3">
      <c r="A104" s="1" t="s">
        <v>582</v>
      </c>
      <c r="B104" s="1" t="s">
        <v>447</v>
      </c>
      <c r="C104" s="1" t="s">
        <v>447</v>
      </c>
      <c r="D104" s="1" t="s">
        <v>117</v>
      </c>
      <c r="E104" s="1">
        <v>160018</v>
      </c>
    </row>
    <row r="105" spans="1:5" x14ac:dyDescent="0.3">
      <c r="A105" s="1" t="s">
        <v>583</v>
      </c>
      <c r="B105" s="1" t="s">
        <v>449</v>
      </c>
      <c r="C105" s="1" t="s">
        <v>450</v>
      </c>
      <c r="D105" s="1" t="s">
        <v>118</v>
      </c>
      <c r="E105" s="1">
        <v>122017</v>
      </c>
    </row>
    <row r="106" spans="1:5" x14ac:dyDescent="0.3">
      <c r="A106" s="1" t="s">
        <v>584</v>
      </c>
      <c r="B106" s="1" t="s">
        <v>452</v>
      </c>
      <c r="C106" s="1" t="s">
        <v>442</v>
      </c>
      <c r="D106" s="1" t="s">
        <v>119</v>
      </c>
      <c r="E106" s="1">
        <v>201303</v>
      </c>
    </row>
    <row r="107" spans="1:5" x14ac:dyDescent="0.3">
      <c r="A107" s="1" t="s">
        <v>585</v>
      </c>
      <c r="B107" s="1" t="s">
        <v>454</v>
      </c>
      <c r="C107" s="1" t="s">
        <v>442</v>
      </c>
      <c r="D107" s="1" t="s">
        <v>120</v>
      </c>
      <c r="E107" s="1">
        <v>201002</v>
      </c>
    </row>
    <row r="108" spans="1:5" x14ac:dyDescent="0.3">
      <c r="A108" s="1" t="s">
        <v>586</v>
      </c>
      <c r="B108" s="1" t="s">
        <v>454</v>
      </c>
      <c r="C108" s="1" t="s">
        <v>442</v>
      </c>
      <c r="D108" s="1" t="s">
        <v>121</v>
      </c>
      <c r="E108" s="1">
        <v>201014</v>
      </c>
    </row>
    <row r="109" spans="1:5" x14ac:dyDescent="0.3">
      <c r="A109" s="1" t="s">
        <v>587</v>
      </c>
      <c r="B109" s="1" t="s">
        <v>458</v>
      </c>
      <c r="C109" s="1" t="s">
        <v>442</v>
      </c>
      <c r="D109" s="1" t="s">
        <v>122</v>
      </c>
      <c r="E109" s="1">
        <v>208003</v>
      </c>
    </row>
    <row r="110" spans="1:5" x14ac:dyDescent="0.3">
      <c r="A110" s="1" t="s">
        <v>588</v>
      </c>
      <c r="B110" s="1" t="s">
        <v>460</v>
      </c>
      <c r="C110" s="1" t="s">
        <v>439</v>
      </c>
      <c r="D110" s="1" t="s">
        <v>123</v>
      </c>
      <c r="E110" s="1">
        <v>395002</v>
      </c>
    </row>
    <row r="111" spans="1:5" x14ac:dyDescent="0.3">
      <c r="A111" s="1" t="s">
        <v>589</v>
      </c>
      <c r="B111" s="1" t="s">
        <v>462</v>
      </c>
      <c r="C111" s="1" t="s">
        <v>439</v>
      </c>
      <c r="D111" s="1" t="s">
        <v>124</v>
      </c>
      <c r="E111" s="1">
        <v>390006</v>
      </c>
    </row>
    <row r="112" spans="1:5" x14ac:dyDescent="0.3">
      <c r="A112" s="1" t="s">
        <v>590</v>
      </c>
      <c r="B112" s="1" t="s">
        <v>464</v>
      </c>
      <c r="C112" s="1" t="s">
        <v>465</v>
      </c>
      <c r="D112" s="1" t="s">
        <v>125</v>
      </c>
      <c r="E112" s="1">
        <v>462004</v>
      </c>
    </row>
    <row r="113" spans="1:5" x14ac:dyDescent="0.3">
      <c r="A113" s="1" t="s">
        <v>591</v>
      </c>
      <c r="B113" s="1" t="s">
        <v>467</v>
      </c>
      <c r="C113" s="1" t="s">
        <v>465</v>
      </c>
      <c r="D113" s="1" t="s">
        <v>126</v>
      </c>
      <c r="E113" s="1">
        <v>452003</v>
      </c>
    </row>
    <row r="114" spans="1:5" x14ac:dyDescent="0.3">
      <c r="A114" s="1" t="s">
        <v>592</v>
      </c>
      <c r="B114" s="1" t="s">
        <v>469</v>
      </c>
      <c r="C114" s="1" t="s">
        <v>470</v>
      </c>
      <c r="D114" s="1" t="s">
        <v>127</v>
      </c>
      <c r="E114" s="1">
        <v>800002</v>
      </c>
    </row>
    <row r="115" spans="1:5" x14ac:dyDescent="0.3">
      <c r="A115" s="1" t="s">
        <v>593</v>
      </c>
      <c r="B115" s="1" t="s">
        <v>472</v>
      </c>
      <c r="C115" s="1" t="s">
        <v>473</v>
      </c>
      <c r="D115" s="1" t="s">
        <v>128</v>
      </c>
      <c r="E115" s="1">
        <v>834003</v>
      </c>
    </row>
    <row r="116" spans="1:5" x14ac:dyDescent="0.3">
      <c r="A116" s="1" t="s">
        <v>594</v>
      </c>
      <c r="B116" s="1" t="s">
        <v>475</v>
      </c>
      <c r="C116" s="1" t="s">
        <v>476</v>
      </c>
      <c r="D116" s="1" t="s">
        <v>129</v>
      </c>
      <c r="E116" s="1">
        <v>751003</v>
      </c>
    </row>
    <row r="117" spans="1:5" x14ac:dyDescent="0.3">
      <c r="A117" s="1" t="s">
        <v>556</v>
      </c>
      <c r="B117" s="1" t="s">
        <v>478</v>
      </c>
      <c r="C117" s="1" t="s">
        <v>428</v>
      </c>
      <c r="D117" s="1" t="s">
        <v>130</v>
      </c>
      <c r="E117" s="1">
        <v>641018</v>
      </c>
    </row>
    <row r="118" spans="1:5" x14ac:dyDescent="0.3">
      <c r="A118" s="1" t="s">
        <v>595</v>
      </c>
      <c r="B118" s="1" t="s">
        <v>480</v>
      </c>
      <c r="C118" s="1" t="s">
        <v>481</v>
      </c>
      <c r="D118" s="1" t="s">
        <v>131</v>
      </c>
      <c r="E118" s="1">
        <v>682003</v>
      </c>
    </row>
    <row r="119" spans="1:5" x14ac:dyDescent="0.3">
      <c r="A119" s="1" t="s">
        <v>596</v>
      </c>
      <c r="B119" s="1" t="s">
        <v>483</v>
      </c>
      <c r="C119" s="1" t="s">
        <v>481</v>
      </c>
      <c r="D119" s="1" t="s">
        <v>132</v>
      </c>
      <c r="E119" s="1">
        <v>695005</v>
      </c>
    </row>
    <row r="120" spans="1:5" x14ac:dyDescent="0.3">
      <c r="A120" s="1" t="s">
        <v>597</v>
      </c>
      <c r="B120" s="1" t="s">
        <v>485</v>
      </c>
      <c r="C120" s="1" t="s">
        <v>425</v>
      </c>
      <c r="D120" s="1" t="s">
        <v>133</v>
      </c>
      <c r="E120" s="1">
        <v>570011</v>
      </c>
    </row>
    <row r="121" spans="1:5" x14ac:dyDescent="0.3">
      <c r="A121" s="1" t="s">
        <v>598</v>
      </c>
      <c r="B121" s="1" t="s">
        <v>487</v>
      </c>
      <c r="C121" s="1" t="s">
        <v>431</v>
      </c>
      <c r="D121" s="1" t="s">
        <v>134</v>
      </c>
      <c r="E121" s="1">
        <v>440011</v>
      </c>
    </row>
    <row r="122" spans="1:5" x14ac:dyDescent="0.3">
      <c r="A122" s="1" t="s">
        <v>599</v>
      </c>
      <c r="B122" s="1" t="s">
        <v>489</v>
      </c>
      <c r="C122" s="1" t="s">
        <v>431</v>
      </c>
      <c r="D122" s="1" t="s">
        <v>135</v>
      </c>
      <c r="E122" s="1">
        <v>422003</v>
      </c>
    </row>
    <row r="123" spans="1:5" x14ac:dyDescent="0.3">
      <c r="A123" s="1" t="s">
        <v>600</v>
      </c>
      <c r="B123" s="1" t="s">
        <v>491</v>
      </c>
      <c r="C123" s="1" t="s">
        <v>445</v>
      </c>
      <c r="D123" s="1" t="s">
        <v>136</v>
      </c>
      <c r="E123" s="1">
        <v>342003</v>
      </c>
    </row>
    <row r="124" spans="1:5" x14ac:dyDescent="0.3">
      <c r="A124" s="1" t="s">
        <v>601</v>
      </c>
      <c r="B124" s="1" t="s">
        <v>493</v>
      </c>
      <c r="C124" s="1" t="s">
        <v>445</v>
      </c>
      <c r="D124" s="1" t="s">
        <v>137</v>
      </c>
      <c r="E124" s="1">
        <v>313002</v>
      </c>
    </row>
    <row r="125" spans="1:5" x14ac:dyDescent="0.3">
      <c r="A125" s="1" t="s">
        <v>602</v>
      </c>
      <c r="B125" s="1" t="s">
        <v>495</v>
      </c>
      <c r="C125" s="1" t="s">
        <v>442</v>
      </c>
      <c r="D125" s="1" t="s">
        <v>138</v>
      </c>
      <c r="E125" s="1">
        <v>282004</v>
      </c>
    </row>
    <row r="126" spans="1:5" x14ac:dyDescent="0.3">
      <c r="A126" s="1" t="s">
        <v>603</v>
      </c>
      <c r="B126" s="1" t="s">
        <v>497</v>
      </c>
      <c r="C126" s="1" t="s">
        <v>442</v>
      </c>
      <c r="D126" s="1" t="s">
        <v>139</v>
      </c>
      <c r="E126" s="1">
        <v>221003</v>
      </c>
    </row>
    <row r="127" spans="1:5" x14ac:dyDescent="0.3">
      <c r="A127" s="1" t="s">
        <v>498</v>
      </c>
      <c r="B127" s="1" t="s">
        <v>499</v>
      </c>
      <c r="C127" s="1" t="s">
        <v>442</v>
      </c>
      <c r="D127" s="1" t="s">
        <v>140</v>
      </c>
      <c r="E127" s="1">
        <v>250003</v>
      </c>
    </row>
    <row r="128" spans="1:5" x14ac:dyDescent="0.3">
      <c r="A128" s="1" t="s">
        <v>604</v>
      </c>
      <c r="B128" s="1" t="s">
        <v>501</v>
      </c>
      <c r="C128" s="1" t="s">
        <v>502</v>
      </c>
      <c r="D128" s="1" t="s">
        <v>141</v>
      </c>
      <c r="E128" s="1">
        <v>141003</v>
      </c>
    </row>
    <row r="129" spans="1:5" x14ac:dyDescent="0.3">
      <c r="A129" s="1" t="s">
        <v>605</v>
      </c>
      <c r="B129" s="1" t="s">
        <v>504</v>
      </c>
      <c r="C129" s="1" t="s">
        <v>502</v>
      </c>
      <c r="D129" s="1" t="s">
        <v>142</v>
      </c>
      <c r="E129" s="1">
        <v>143003</v>
      </c>
    </row>
    <row r="130" spans="1:5" x14ac:dyDescent="0.3">
      <c r="A130" s="1" t="s">
        <v>606</v>
      </c>
      <c r="B130" s="1" t="s">
        <v>506</v>
      </c>
      <c r="C130" s="1" t="s">
        <v>502</v>
      </c>
      <c r="D130" s="1" t="s">
        <v>143</v>
      </c>
      <c r="E130" s="1">
        <v>144003</v>
      </c>
    </row>
    <row r="131" spans="1:5" x14ac:dyDescent="0.3">
      <c r="A131" s="1" t="s">
        <v>607</v>
      </c>
      <c r="B131" s="1" t="s">
        <v>508</v>
      </c>
      <c r="C131" s="1" t="s">
        <v>509</v>
      </c>
      <c r="D131" s="1" t="s">
        <v>144</v>
      </c>
      <c r="E131" s="1">
        <v>248003</v>
      </c>
    </row>
    <row r="132" spans="1:5" x14ac:dyDescent="0.3">
      <c r="A132" s="1" t="s">
        <v>608</v>
      </c>
      <c r="B132" s="1" t="s">
        <v>511</v>
      </c>
      <c r="C132" s="1" t="s">
        <v>512</v>
      </c>
      <c r="D132" s="1" t="s">
        <v>145</v>
      </c>
      <c r="E132" s="1">
        <v>171003</v>
      </c>
    </row>
    <row r="133" spans="1:5" x14ac:dyDescent="0.3">
      <c r="A133" s="1" t="s">
        <v>609</v>
      </c>
      <c r="B133" s="1" t="s">
        <v>514</v>
      </c>
      <c r="C133" s="1" t="s">
        <v>515</v>
      </c>
      <c r="D133" s="1" t="s">
        <v>146</v>
      </c>
      <c r="E133" s="1">
        <v>190003</v>
      </c>
    </row>
    <row r="134" spans="1:5" x14ac:dyDescent="0.3">
      <c r="A134" s="1" t="s">
        <v>610</v>
      </c>
      <c r="B134" s="1" t="s">
        <v>517</v>
      </c>
      <c r="C134" s="1" t="s">
        <v>518</v>
      </c>
      <c r="D134" s="1" t="s">
        <v>147</v>
      </c>
      <c r="E134" s="1">
        <v>781003</v>
      </c>
    </row>
    <row r="135" spans="1:5" x14ac:dyDescent="0.3">
      <c r="A135" s="1" t="s">
        <v>611</v>
      </c>
      <c r="B135" s="1" t="s">
        <v>520</v>
      </c>
      <c r="C135" s="1" t="s">
        <v>521</v>
      </c>
      <c r="D135" s="1" t="s">
        <v>148</v>
      </c>
      <c r="E135" s="1">
        <v>795003</v>
      </c>
    </row>
    <row r="136" spans="1:5" x14ac:dyDescent="0.3">
      <c r="A136" s="1" t="s">
        <v>612</v>
      </c>
      <c r="B136" s="1" t="s">
        <v>523</v>
      </c>
      <c r="C136" s="1" t="s">
        <v>524</v>
      </c>
      <c r="D136" s="1" t="s">
        <v>149</v>
      </c>
      <c r="E136" s="1">
        <v>791112</v>
      </c>
    </row>
    <row r="137" spans="1:5" x14ac:dyDescent="0.3">
      <c r="A137" s="1" t="s">
        <v>613</v>
      </c>
      <c r="B137" s="1" t="s">
        <v>526</v>
      </c>
      <c r="C137" s="1" t="s">
        <v>527</v>
      </c>
      <c r="D137" s="1" t="s">
        <v>150</v>
      </c>
      <c r="E137" s="1">
        <v>797003</v>
      </c>
    </row>
    <row r="138" spans="1:5" x14ac:dyDescent="0.3">
      <c r="A138" s="1" t="s">
        <v>614</v>
      </c>
      <c r="B138" s="1" t="s">
        <v>529</v>
      </c>
      <c r="C138" s="1" t="s">
        <v>530</v>
      </c>
      <c r="D138" s="1" t="s">
        <v>151</v>
      </c>
      <c r="E138" s="1">
        <v>796003</v>
      </c>
    </row>
    <row r="139" spans="1:5" x14ac:dyDescent="0.3">
      <c r="A139" s="1" t="s">
        <v>615</v>
      </c>
      <c r="B139" s="1" t="s">
        <v>532</v>
      </c>
      <c r="C139" s="1" t="s">
        <v>533</v>
      </c>
      <c r="D139" s="1" t="s">
        <v>152</v>
      </c>
      <c r="E139" s="1">
        <v>744103</v>
      </c>
    </row>
    <row r="140" spans="1:5" x14ac:dyDescent="0.3">
      <c r="A140" s="1" t="s">
        <v>616</v>
      </c>
      <c r="B140" s="1" t="s">
        <v>418</v>
      </c>
      <c r="C140" s="1" t="s">
        <v>419</v>
      </c>
      <c r="D140" s="1" t="s">
        <v>153</v>
      </c>
      <c r="E140" s="1">
        <v>110004</v>
      </c>
    </row>
    <row r="141" spans="1:5" x14ac:dyDescent="0.3">
      <c r="A141" s="1" t="s">
        <v>617</v>
      </c>
      <c r="B141" s="1" t="s">
        <v>421</v>
      </c>
      <c r="C141" s="1" t="s">
        <v>422</v>
      </c>
      <c r="D141" s="1" t="s">
        <v>154</v>
      </c>
      <c r="E141" s="1">
        <v>700019</v>
      </c>
    </row>
    <row r="142" spans="1:5" x14ac:dyDescent="0.3">
      <c r="A142" s="1" t="s">
        <v>618</v>
      </c>
      <c r="B142" s="1" t="s">
        <v>424</v>
      </c>
      <c r="C142" s="1" t="s">
        <v>425</v>
      </c>
      <c r="D142" s="1" t="s">
        <v>155</v>
      </c>
      <c r="E142" s="1">
        <v>560027</v>
      </c>
    </row>
    <row r="143" spans="1:5" x14ac:dyDescent="0.3">
      <c r="A143" s="1" t="s">
        <v>619</v>
      </c>
      <c r="B143" s="1" t="s">
        <v>427</v>
      </c>
      <c r="C143" s="1" t="s">
        <v>428</v>
      </c>
      <c r="D143" s="1" t="s">
        <v>156</v>
      </c>
      <c r="E143" s="1">
        <v>600019</v>
      </c>
    </row>
    <row r="144" spans="1:5" x14ac:dyDescent="0.3">
      <c r="A144" s="1" t="s">
        <v>620</v>
      </c>
      <c r="B144" s="1" t="s">
        <v>430</v>
      </c>
      <c r="C144" s="1" t="s">
        <v>431</v>
      </c>
      <c r="D144" s="1" t="s">
        <v>157</v>
      </c>
      <c r="E144" s="1">
        <v>400022</v>
      </c>
    </row>
    <row r="145" spans="1:5" x14ac:dyDescent="0.3">
      <c r="A145" s="1" t="s">
        <v>621</v>
      </c>
      <c r="B145" s="1" t="s">
        <v>433</v>
      </c>
      <c r="C145" s="1" t="s">
        <v>431</v>
      </c>
      <c r="D145" s="1" t="s">
        <v>158</v>
      </c>
      <c r="E145" s="1">
        <v>411007</v>
      </c>
    </row>
    <row r="146" spans="1:5" x14ac:dyDescent="0.3">
      <c r="A146" s="1" t="s">
        <v>622</v>
      </c>
      <c r="B146" s="1" t="s">
        <v>435</v>
      </c>
      <c r="C146" s="1" t="s">
        <v>436</v>
      </c>
      <c r="D146" s="1" t="s">
        <v>159</v>
      </c>
      <c r="E146" s="1">
        <v>500035</v>
      </c>
    </row>
    <row r="147" spans="1:5" x14ac:dyDescent="0.3">
      <c r="A147" s="1" t="s">
        <v>623</v>
      </c>
      <c r="B147" s="1" t="s">
        <v>438</v>
      </c>
      <c r="C147" s="1" t="s">
        <v>439</v>
      </c>
      <c r="D147" s="1" t="s">
        <v>160</v>
      </c>
      <c r="E147" s="1">
        <v>380010</v>
      </c>
    </row>
    <row r="148" spans="1:5" x14ac:dyDescent="0.3">
      <c r="A148" s="1" t="s">
        <v>624</v>
      </c>
      <c r="B148" s="1" t="s">
        <v>441</v>
      </c>
      <c r="C148" s="1" t="s">
        <v>442</v>
      </c>
      <c r="D148" s="1" t="s">
        <v>161</v>
      </c>
      <c r="E148" s="1">
        <v>226004</v>
      </c>
    </row>
    <row r="149" spans="1:5" x14ac:dyDescent="0.3">
      <c r="A149" s="1" t="s">
        <v>625</v>
      </c>
      <c r="B149" s="1" t="s">
        <v>444</v>
      </c>
      <c r="C149" s="1" t="s">
        <v>445</v>
      </c>
      <c r="D149" s="1" t="s">
        <v>162</v>
      </c>
      <c r="E149" s="1">
        <v>302005</v>
      </c>
    </row>
    <row r="150" spans="1:5" x14ac:dyDescent="0.3">
      <c r="A150" s="1" t="s">
        <v>626</v>
      </c>
      <c r="B150" s="1" t="s">
        <v>447</v>
      </c>
      <c r="C150" s="1" t="s">
        <v>447</v>
      </c>
      <c r="D150" s="1" t="s">
        <v>163</v>
      </c>
      <c r="E150" s="1">
        <v>160019</v>
      </c>
    </row>
    <row r="151" spans="1:5" x14ac:dyDescent="0.3">
      <c r="A151" s="1" t="s">
        <v>627</v>
      </c>
      <c r="B151" s="1" t="s">
        <v>449</v>
      </c>
      <c r="C151" s="1" t="s">
        <v>450</v>
      </c>
      <c r="D151" s="1" t="s">
        <v>164</v>
      </c>
      <c r="E151" s="1">
        <v>122018</v>
      </c>
    </row>
    <row r="152" spans="1:5" x14ac:dyDescent="0.3">
      <c r="A152" s="1" t="s">
        <v>628</v>
      </c>
      <c r="B152" s="1" t="s">
        <v>452</v>
      </c>
      <c r="C152" s="1" t="s">
        <v>442</v>
      </c>
      <c r="D152" s="1" t="s">
        <v>165</v>
      </c>
      <c r="E152" s="1">
        <v>201304</v>
      </c>
    </row>
    <row r="153" spans="1:5" x14ac:dyDescent="0.3">
      <c r="A153" s="1" t="s">
        <v>629</v>
      </c>
      <c r="B153" s="1" t="s">
        <v>454</v>
      </c>
      <c r="C153" s="1" t="s">
        <v>442</v>
      </c>
      <c r="D153" s="1" t="s">
        <v>166</v>
      </c>
      <c r="E153" s="1">
        <v>201003</v>
      </c>
    </row>
    <row r="154" spans="1:5" x14ac:dyDescent="0.3">
      <c r="A154" s="1" t="s">
        <v>630</v>
      </c>
      <c r="B154" s="1" t="s">
        <v>454</v>
      </c>
      <c r="C154" s="1" t="s">
        <v>442</v>
      </c>
      <c r="D154" s="1" t="s">
        <v>167</v>
      </c>
      <c r="E154" s="1">
        <v>201015</v>
      </c>
    </row>
    <row r="155" spans="1:5" x14ac:dyDescent="0.3">
      <c r="A155" s="1" t="s">
        <v>631</v>
      </c>
      <c r="B155" s="1" t="s">
        <v>458</v>
      </c>
      <c r="C155" s="1" t="s">
        <v>442</v>
      </c>
      <c r="D155" s="1" t="s">
        <v>168</v>
      </c>
      <c r="E155" s="1">
        <v>208004</v>
      </c>
    </row>
    <row r="156" spans="1:5" x14ac:dyDescent="0.3">
      <c r="A156" s="1" t="s">
        <v>588</v>
      </c>
      <c r="B156" s="1" t="s">
        <v>460</v>
      </c>
      <c r="C156" s="1" t="s">
        <v>439</v>
      </c>
      <c r="D156" s="1" t="s">
        <v>169</v>
      </c>
      <c r="E156" s="1">
        <v>395004</v>
      </c>
    </row>
    <row r="157" spans="1:5" x14ac:dyDescent="0.3">
      <c r="A157" s="1" t="s">
        <v>632</v>
      </c>
      <c r="B157" s="1" t="s">
        <v>462</v>
      </c>
      <c r="C157" s="1" t="s">
        <v>439</v>
      </c>
      <c r="D157" s="1" t="s">
        <v>170</v>
      </c>
      <c r="E157" s="1">
        <v>390007</v>
      </c>
    </row>
    <row r="158" spans="1:5" x14ac:dyDescent="0.3">
      <c r="A158" s="1" t="s">
        <v>633</v>
      </c>
      <c r="B158" s="1" t="s">
        <v>464</v>
      </c>
      <c r="C158" s="1" t="s">
        <v>465</v>
      </c>
      <c r="D158" s="1" t="s">
        <v>171</v>
      </c>
      <c r="E158" s="1">
        <v>462005</v>
      </c>
    </row>
    <row r="159" spans="1:5" x14ac:dyDescent="0.3">
      <c r="A159" s="1" t="s">
        <v>634</v>
      </c>
      <c r="B159" s="1" t="s">
        <v>467</v>
      </c>
      <c r="C159" s="1" t="s">
        <v>465</v>
      </c>
      <c r="D159" s="1" t="s">
        <v>172</v>
      </c>
      <c r="E159" s="1">
        <v>452004</v>
      </c>
    </row>
    <row r="160" spans="1:5" x14ac:dyDescent="0.3">
      <c r="A160" s="1" t="s">
        <v>635</v>
      </c>
      <c r="B160" s="1" t="s">
        <v>469</v>
      </c>
      <c r="C160" s="1" t="s">
        <v>470</v>
      </c>
      <c r="D160" s="1" t="s">
        <v>173</v>
      </c>
      <c r="E160" s="1">
        <v>800003</v>
      </c>
    </row>
    <row r="161" spans="1:5" x14ac:dyDescent="0.3">
      <c r="A161" s="1" t="s">
        <v>636</v>
      </c>
      <c r="B161" s="1" t="s">
        <v>472</v>
      </c>
      <c r="C161" s="1" t="s">
        <v>473</v>
      </c>
      <c r="D161" s="1" t="s">
        <v>174</v>
      </c>
      <c r="E161" s="1">
        <v>834004</v>
      </c>
    </row>
    <row r="162" spans="1:5" x14ac:dyDescent="0.3">
      <c r="A162" s="1" t="s">
        <v>637</v>
      </c>
      <c r="B162" s="1" t="s">
        <v>475</v>
      </c>
      <c r="C162" s="1" t="s">
        <v>476</v>
      </c>
      <c r="D162" s="1" t="s">
        <v>175</v>
      </c>
      <c r="E162" s="1">
        <v>751004</v>
      </c>
    </row>
    <row r="163" spans="1:5" x14ac:dyDescent="0.3">
      <c r="A163" s="1" t="s">
        <v>638</v>
      </c>
      <c r="B163" s="1" t="s">
        <v>478</v>
      </c>
      <c r="C163" s="1" t="s">
        <v>428</v>
      </c>
      <c r="D163" s="1" t="s">
        <v>176</v>
      </c>
      <c r="E163" s="1">
        <v>641014</v>
      </c>
    </row>
    <row r="164" spans="1:5" x14ac:dyDescent="0.3">
      <c r="A164" s="1" t="s">
        <v>595</v>
      </c>
      <c r="B164" s="1" t="s">
        <v>480</v>
      </c>
      <c r="C164" s="1" t="s">
        <v>481</v>
      </c>
      <c r="D164" s="1" t="s">
        <v>177</v>
      </c>
      <c r="E164" s="1">
        <v>682004</v>
      </c>
    </row>
    <row r="165" spans="1:5" x14ac:dyDescent="0.3">
      <c r="A165" s="1" t="s">
        <v>639</v>
      </c>
      <c r="B165" s="1" t="s">
        <v>483</v>
      </c>
      <c r="C165" s="1" t="s">
        <v>481</v>
      </c>
      <c r="D165" s="1" t="s">
        <v>178</v>
      </c>
      <c r="E165" s="1">
        <v>695006</v>
      </c>
    </row>
    <row r="166" spans="1:5" x14ac:dyDescent="0.3">
      <c r="A166" s="1" t="s">
        <v>640</v>
      </c>
      <c r="B166" s="1" t="s">
        <v>485</v>
      </c>
      <c r="C166" s="1" t="s">
        <v>425</v>
      </c>
      <c r="D166" s="1" t="s">
        <v>179</v>
      </c>
      <c r="E166" s="1">
        <v>570012</v>
      </c>
    </row>
    <row r="167" spans="1:5" x14ac:dyDescent="0.3">
      <c r="A167" s="1" t="s">
        <v>641</v>
      </c>
      <c r="B167" s="1" t="s">
        <v>487</v>
      </c>
      <c r="C167" s="1" t="s">
        <v>431</v>
      </c>
      <c r="D167" s="1" t="s">
        <v>180</v>
      </c>
      <c r="E167" s="1">
        <v>440012</v>
      </c>
    </row>
    <row r="168" spans="1:5" x14ac:dyDescent="0.3">
      <c r="A168" s="1" t="s">
        <v>642</v>
      </c>
      <c r="B168" s="1" t="s">
        <v>489</v>
      </c>
      <c r="C168" s="1" t="s">
        <v>431</v>
      </c>
      <c r="D168" s="1" t="s">
        <v>181</v>
      </c>
      <c r="E168" s="1">
        <v>422004</v>
      </c>
    </row>
    <row r="169" spans="1:5" x14ac:dyDescent="0.3">
      <c r="A169" s="1" t="s">
        <v>490</v>
      </c>
      <c r="B169" s="1" t="s">
        <v>491</v>
      </c>
      <c r="C169" s="1" t="s">
        <v>445</v>
      </c>
      <c r="D169" s="1" t="s">
        <v>182</v>
      </c>
      <c r="E169" s="1">
        <v>342004</v>
      </c>
    </row>
    <row r="170" spans="1:5" x14ac:dyDescent="0.3">
      <c r="A170" s="1" t="s">
        <v>643</v>
      </c>
      <c r="B170" s="1" t="s">
        <v>493</v>
      </c>
      <c r="C170" s="1" t="s">
        <v>445</v>
      </c>
      <c r="D170" s="1" t="s">
        <v>183</v>
      </c>
      <c r="E170" s="1">
        <v>313003</v>
      </c>
    </row>
    <row r="171" spans="1:5" x14ac:dyDescent="0.3">
      <c r="A171" s="1" t="s">
        <v>644</v>
      </c>
      <c r="B171" s="1" t="s">
        <v>495</v>
      </c>
      <c r="C171" s="1" t="s">
        <v>442</v>
      </c>
      <c r="D171" s="1" t="s">
        <v>184</v>
      </c>
      <c r="E171" s="1">
        <v>282005</v>
      </c>
    </row>
    <row r="172" spans="1:5" x14ac:dyDescent="0.3">
      <c r="A172" s="1" t="s">
        <v>565</v>
      </c>
      <c r="B172" s="1" t="s">
        <v>497</v>
      </c>
      <c r="C172" s="1" t="s">
        <v>442</v>
      </c>
      <c r="D172" s="1" t="s">
        <v>185</v>
      </c>
      <c r="E172" s="1">
        <v>221004</v>
      </c>
    </row>
    <row r="173" spans="1:5" x14ac:dyDescent="0.3">
      <c r="A173" s="1" t="s">
        <v>645</v>
      </c>
      <c r="B173" s="1" t="s">
        <v>499</v>
      </c>
      <c r="C173" s="1" t="s">
        <v>442</v>
      </c>
      <c r="D173" s="1" t="s">
        <v>186</v>
      </c>
      <c r="E173" s="1">
        <v>250004</v>
      </c>
    </row>
    <row r="174" spans="1:5" x14ac:dyDescent="0.3">
      <c r="A174" s="1" t="s">
        <v>646</v>
      </c>
      <c r="B174" s="1" t="s">
        <v>501</v>
      </c>
      <c r="C174" s="1" t="s">
        <v>502</v>
      </c>
      <c r="D174" s="1" t="s">
        <v>187</v>
      </c>
      <c r="E174" s="1">
        <v>141004</v>
      </c>
    </row>
    <row r="175" spans="1:5" x14ac:dyDescent="0.3">
      <c r="A175" s="1" t="s">
        <v>647</v>
      </c>
      <c r="B175" s="1" t="s">
        <v>504</v>
      </c>
      <c r="C175" s="1" t="s">
        <v>502</v>
      </c>
      <c r="D175" s="1" t="s">
        <v>188</v>
      </c>
      <c r="E175" s="1">
        <v>143004</v>
      </c>
    </row>
    <row r="176" spans="1:5" x14ac:dyDescent="0.3">
      <c r="A176" s="1" t="s">
        <v>648</v>
      </c>
      <c r="B176" s="1" t="s">
        <v>506</v>
      </c>
      <c r="C176" s="1" t="s">
        <v>502</v>
      </c>
      <c r="D176" s="1" t="s">
        <v>189</v>
      </c>
      <c r="E176" s="1">
        <v>144004</v>
      </c>
    </row>
    <row r="177" spans="1:5" x14ac:dyDescent="0.3">
      <c r="A177" s="1" t="s">
        <v>649</v>
      </c>
      <c r="B177" s="1" t="s">
        <v>508</v>
      </c>
      <c r="C177" s="1" t="s">
        <v>509</v>
      </c>
      <c r="D177" s="1" t="s">
        <v>190</v>
      </c>
      <c r="E177" s="1">
        <v>248004</v>
      </c>
    </row>
    <row r="178" spans="1:5" x14ac:dyDescent="0.3">
      <c r="A178" s="1" t="s">
        <v>650</v>
      </c>
      <c r="B178" s="1" t="s">
        <v>511</v>
      </c>
      <c r="C178" s="1" t="s">
        <v>512</v>
      </c>
      <c r="D178" s="1" t="s">
        <v>191</v>
      </c>
      <c r="E178" s="1">
        <v>171004</v>
      </c>
    </row>
    <row r="179" spans="1:5" x14ac:dyDescent="0.3">
      <c r="A179" s="1" t="s">
        <v>609</v>
      </c>
      <c r="B179" s="1" t="s">
        <v>514</v>
      </c>
      <c r="C179" s="1" t="s">
        <v>515</v>
      </c>
      <c r="D179" s="1" t="s">
        <v>192</v>
      </c>
      <c r="E179" s="1">
        <v>190004</v>
      </c>
    </row>
    <row r="180" spans="1:5" x14ac:dyDescent="0.3">
      <c r="A180" s="1" t="s">
        <v>651</v>
      </c>
      <c r="B180" s="1" t="s">
        <v>517</v>
      </c>
      <c r="C180" s="1" t="s">
        <v>518</v>
      </c>
      <c r="D180" s="1" t="s">
        <v>193</v>
      </c>
      <c r="E180" s="1">
        <v>781004</v>
      </c>
    </row>
    <row r="181" spans="1:5" x14ac:dyDescent="0.3">
      <c r="A181" s="1" t="s">
        <v>652</v>
      </c>
      <c r="B181" s="1" t="s">
        <v>520</v>
      </c>
      <c r="C181" s="1" t="s">
        <v>521</v>
      </c>
      <c r="D181" s="1" t="s">
        <v>194</v>
      </c>
      <c r="E181" s="1">
        <v>795004</v>
      </c>
    </row>
    <row r="182" spans="1:5" x14ac:dyDescent="0.3">
      <c r="A182" s="1" t="s">
        <v>653</v>
      </c>
      <c r="B182" s="1" t="s">
        <v>523</v>
      </c>
      <c r="C182" s="1" t="s">
        <v>524</v>
      </c>
      <c r="D182" s="1" t="s">
        <v>195</v>
      </c>
      <c r="E182" s="1">
        <v>791113</v>
      </c>
    </row>
    <row r="183" spans="1:5" x14ac:dyDescent="0.3">
      <c r="A183" s="1" t="s">
        <v>654</v>
      </c>
      <c r="B183" s="1" t="s">
        <v>526</v>
      </c>
      <c r="C183" s="1" t="s">
        <v>527</v>
      </c>
      <c r="D183" s="1" t="s">
        <v>196</v>
      </c>
      <c r="E183" s="1">
        <v>797004</v>
      </c>
    </row>
    <row r="184" spans="1:5" x14ac:dyDescent="0.3">
      <c r="A184" s="1" t="s">
        <v>528</v>
      </c>
      <c r="B184" s="1" t="s">
        <v>529</v>
      </c>
      <c r="C184" s="1" t="s">
        <v>530</v>
      </c>
      <c r="D184" s="1" t="s">
        <v>197</v>
      </c>
      <c r="E184" s="1">
        <v>796004</v>
      </c>
    </row>
    <row r="185" spans="1:5" x14ac:dyDescent="0.3">
      <c r="A185" s="1" t="s">
        <v>655</v>
      </c>
      <c r="B185" s="1" t="s">
        <v>532</v>
      </c>
      <c r="C185" s="1" t="s">
        <v>533</v>
      </c>
      <c r="D185" s="1" t="s">
        <v>198</v>
      </c>
      <c r="E185" s="1">
        <v>744104</v>
      </c>
    </row>
    <row r="186" spans="1:5" x14ac:dyDescent="0.3">
      <c r="A186" s="1" t="s">
        <v>656</v>
      </c>
      <c r="B186" s="1" t="s">
        <v>418</v>
      </c>
      <c r="C186" s="1" t="s">
        <v>419</v>
      </c>
      <c r="D186" s="1" t="s">
        <v>199</v>
      </c>
      <c r="E186" s="1">
        <v>110005</v>
      </c>
    </row>
    <row r="187" spans="1:5" x14ac:dyDescent="0.3">
      <c r="A187" s="1" t="s">
        <v>657</v>
      </c>
      <c r="B187" s="1" t="s">
        <v>421</v>
      </c>
      <c r="C187" s="1" t="s">
        <v>422</v>
      </c>
      <c r="D187" s="1" t="s">
        <v>200</v>
      </c>
      <c r="E187" s="1">
        <v>700020</v>
      </c>
    </row>
    <row r="188" spans="1:5" x14ac:dyDescent="0.3">
      <c r="A188" s="1" t="s">
        <v>658</v>
      </c>
      <c r="B188" s="1" t="s">
        <v>424</v>
      </c>
      <c r="C188" s="1" t="s">
        <v>425</v>
      </c>
      <c r="D188" s="1" t="s">
        <v>201</v>
      </c>
      <c r="E188" s="1">
        <v>560028</v>
      </c>
    </row>
    <row r="189" spans="1:5" x14ac:dyDescent="0.3">
      <c r="A189" s="1" t="s">
        <v>659</v>
      </c>
      <c r="B189" s="1" t="s">
        <v>427</v>
      </c>
      <c r="C189" s="1" t="s">
        <v>428</v>
      </c>
      <c r="D189" s="1" t="s">
        <v>202</v>
      </c>
      <c r="E189" s="1">
        <v>600020</v>
      </c>
    </row>
    <row r="190" spans="1:5" x14ac:dyDescent="0.3">
      <c r="A190" s="1" t="s">
        <v>660</v>
      </c>
      <c r="B190" s="1" t="s">
        <v>430</v>
      </c>
      <c r="C190" s="1" t="s">
        <v>431</v>
      </c>
      <c r="D190" s="1" t="s">
        <v>203</v>
      </c>
      <c r="E190" s="1">
        <v>400023</v>
      </c>
    </row>
    <row r="191" spans="1:5" x14ac:dyDescent="0.3">
      <c r="A191" s="1" t="s">
        <v>661</v>
      </c>
      <c r="B191" s="1" t="s">
        <v>433</v>
      </c>
      <c r="C191" s="1" t="s">
        <v>431</v>
      </c>
      <c r="D191" s="1" t="s">
        <v>204</v>
      </c>
      <c r="E191" s="1">
        <v>411008</v>
      </c>
    </row>
    <row r="192" spans="1:5" x14ac:dyDescent="0.3">
      <c r="A192" s="1" t="s">
        <v>622</v>
      </c>
      <c r="B192" s="1" t="s">
        <v>435</v>
      </c>
      <c r="C192" s="1" t="s">
        <v>436</v>
      </c>
      <c r="D192" s="1" t="s">
        <v>205</v>
      </c>
      <c r="E192" s="1">
        <v>500036</v>
      </c>
    </row>
    <row r="193" spans="1:5" x14ac:dyDescent="0.3">
      <c r="A193" s="1" t="s">
        <v>662</v>
      </c>
      <c r="B193" s="1" t="s">
        <v>438</v>
      </c>
      <c r="C193" s="1" t="s">
        <v>439</v>
      </c>
      <c r="D193" s="1" t="s">
        <v>206</v>
      </c>
      <c r="E193" s="1">
        <v>380011</v>
      </c>
    </row>
    <row r="194" spans="1:5" x14ac:dyDescent="0.3">
      <c r="A194" s="1" t="s">
        <v>663</v>
      </c>
      <c r="B194" s="1" t="s">
        <v>441</v>
      </c>
      <c r="C194" s="1" t="s">
        <v>442</v>
      </c>
      <c r="D194" s="1" t="s">
        <v>207</v>
      </c>
      <c r="E194" s="1">
        <v>226005</v>
      </c>
    </row>
    <row r="195" spans="1:5" x14ac:dyDescent="0.3">
      <c r="A195" s="1" t="s">
        <v>664</v>
      </c>
      <c r="B195" s="1" t="s">
        <v>444</v>
      </c>
      <c r="C195" s="1" t="s">
        <v>445</v>
      </c>
      <c r="D195" s="1" t="s">
        <v>208</v>
      </c>
      <c r="E195" s="1">
        <v>302006</v>
      </c>
    </row>
    <row r="196" spans="1:5" x14ac:dyDescent="0.3">
      <c r="A196" s="1" t="s">
        <v>665</v>
      </c>
      <c r="B196" s="1" t="s">
        <v>447</v>
      </c>
      <c r="C196" s="1" t="s">
        <v>447</v>
      </c>
      <c r="D196" s="1" t="s">
        <v>209</v>
      </c>
      <c r="E196" s="1">
        <v>160020</v>
      </c>
    </row>
    <row r="197" spans="1:5" x14ac:dyDescent="0.3">
      <c r="A197" s="1" t="s">
        <v>666</v>
      </c>
      <c r="B197" s="1" t="s">
        <v>449</v>
      </c>
      <c r="C197" s="1" t="s">
        <v>450</v>
      </c>
      <c r="D197" s="1" t="s">
        <v>210</v>
      </c>
      <c r="E197" s="1">
        <v>122019</v>
      </c>
    </row>
    <row r="198" spans="1:5" x14ac:dyDescent="0.3">
      <c r="A198" s="1" t="s">
        <v>667</v>
      </c>
      <c r="B198" s="1" t="s">
        <v>452</v>
      </c>
      <c r="C198" s="1" t="s">
        <v>442</v>
      </c>
      <c r="D198" s="1" t="s">
        <v>211</v>
      </c>
      <c r="E198" s="1">
        <v>201305</v>
      </c>
    </row>
    <row r="199" spans="1:5" x14ac:dyDescent="0.3">
      <c r="A199" s="1" t="s">
        <v>668</v>
      </c>
      <c r="B199" s="1" t="s">
        <v>454</v>
      </c>
      <c r="C199" s="1" t="s">
        <v>442</v>
      </c>
      <c r="D199" s="1" t="s">
        <v>212</v>
      </c>
      <c r="E199" s="1">
        <v>201004</v>
      </c>
    </row>
    <row r="200" spans="1:5" x14ac:dyDescent="0.3">
      <c r="A200" s="1" t="s">
        <v>669</v>
      </c>
      <c r="B200" s="1" t="s">
        <v>454</v>
      </c>
      <c r="C200" s="1" t="s">
        <v>442</v>
      </c>
      <c r="D200" s="1" t="s">
        <v>213</v>
      </c>
      <c r="E200" s="1">
        <v>201016</v>
      </c>
    </row>
    <row r="201" spans="1:5" x14ac:dyDescent="0.3">
      <c r="A201" s="1" t="s">
        <v>670</v>
      </c>
      <c r="B201" s="1" t="s">
        <v>458</v>
      </c>
      <c r="C201" s="1" t="s">
        <v>442</v>
      </c>
      <c r="D201" s="1" t="s">
        <v>214</v>
      </c>
      <c r="E201" s="1">
        <v>208005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8A31-AAE1-4473-890F-1C263B0278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 (3)</vt:lpstr>
      <vt:lpstr>Sheet1 (2)</vt:lpstr>
      <vt:lpstr>Sheet1</vt:lpstr>
      <vt:lpstr>Sheet2</vt:lpstr>
      <vt:lpstr>Sheet5</vt:lpstr>
      <vt:lpstr>Sheet5 (2)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2026-01-23T12:30:17Z</dcterms:created>
  <dcterms:modified xsi:type="dcterms:W3CDTF">2026-01-26T12:19:09Z</dcterms:modified>
</cp:coreProperties>
</file>
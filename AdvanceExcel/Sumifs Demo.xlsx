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8_{F4588FFA-29AE-43B0-99F7-076646EEA0CA}" xr6:coauthVersionLast="47" xr6:coauthVersionMax="47" xr10:uidLastSave="{00000000-0000-0000-0000-000000000000}"/>
  <bookViews>
    <workbookView xWindow="-108" yWindow="-108" windowWidth="23256" windowHeight="13896" activeTab="3" xr2:uid="{22DEB186-0384-40BD-9A6D-35945A78056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E2" i="3"/>
  <c r="F3" i="2"/>
  <c r="F2" i="2"/>
  <c r="A27" i="1"/>
  <c r="A49" i="1"/>
  <c r="A70" i="1"/>
</calcChain>
</file>

<file path=xl/sharedStrings.xml><?xml version="1.0" encoding="utf-8"?>
<sst xmlns="http://schemas.openxmlformats.org/spreadsheetml/2006/main" count="162" uniqueCount="64">
  <si>
    <t>Sample datasets for the SUMIFS examples</t>
  </si>
  <si>
    <r>
      <t xml:space="preserve">Below are three compact, ready‑to‑paste datasets you can use in Excel. Each table shows the </t>
    </r>
    <r>
      <rPr>
        <b/>
        <sz val="11"/>
        <color theme="1"/>
        <rFont val="Aptos Narrow"/>
        <family val="2"/>
        <scheme val="minor"/>
      </rPr>
      <t>column headers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sample rows</t>
    </r>
    <r>
      <rPr>
        <sz val="11"/>
        <color theme="1"/>
        <rFont val="Aptos Narrow"/>
        <family val="2"/>
        <scheme val="minor"/>
      </rPr>
      <t xml:space="preserve">, the </t>
    </r>
    <r>
      <rPr>
        <b/>
        <sz val="11"/>
        <color theme="1"/>
        <rFont val="Aptos Narrow"/>
        <family val="2"/>
        <scheme val="minor"/>
      </rPr>
      <t>range names</t>
    </r>
    <r>
      <rPr>
        <sz val="11"/>
        <color theme="1"/>
        <rFont val="Aptos Narrow"/>
        <family val="2"/>
        <scheme val="minor"/>
      </rPr>
      <t xml:space="preserve"> I recommend, the </t>
    </r>
    <r>
      <rPr>
        <b/>
        <sz val="11"/>
        <color theme="1"/>
        <rFont val="Aptos Narrow"/>
        <family val="2"/>
        <scheme val="minor"/>
      </rPr>
      <t>SUMIFS formula</t>
    </r>
    <r>
      <rPr>
        <sz val="11"/>
        <color theme="1"/>
        <rFont val="Aptos Narrow"/>
        <family val="2"/>
        <scheme val="minor"/>
      </rPr>
      <t xml:space="preserve"> to use, and the </t>
    </r>
    <r>
      <rPr>
        <b/>
        <sz val="11"/>
        <color theme="1"/>
        <rFont val="Aptos Narrow"/>
        <family val="2"/>
        <scheme val="minor"/>
      </rPr>
      <t>expected result</t>
    </r>
    <r>
      <rPr>
        <sz val="11"/>
        <color theme="1"/>
        <rFont val="Aptos Narrow"/>
        <family val="2"/>
        <scheme val="minor"/>
      </rPr>
      <t xml:space="preserve"> for the sample data.</t>
    </r>
  </si>
  <si>
    <r>
      <t xml:space="preserve">Dataset A — Sales by Region &amp; Product (use for </t>
    </r>
    <r>
      <rPr>
        <b/>
        <i/>
        <sz val="12"/>
        <color theme="1"/>
        <rFont val="Aptos Narrow"/>
        <family val="2"/>
        <scheme val="minor"/>
      </rPr>
      <t>Sum sales for a region and product</t>
    </r>
    <r>
      <rPr>
        <b/>
        <sz val="12"/>
        <color theme="1"/>
        <rFont val="Aptos Narrow"/>
        <family val="2"/>
        <scheme val="minor"/>
      </rPr>
      <t>)</t>
    </r>
  </si>
  <si>
    <r>
      <t>Place in A1:D13</t>
    </r>
    <r>
      <rPr>
        <sz val="11"/>
        <color theme="1"/>
        <rFont val="Aptos Narrow"/>
        <family val="2"/>
        <scheme val="minor"/>
      </rPr>
      <t xml:space="preserve"> (4 columns)</t>
    </r>
  </si>
  <si>
    <t>Region</t>
  </si>
  <si>
    <t>Product</t>
  </si>
  <si>
    <t>SaleDate</t>
  </si>
  <si>
    <t>SalesAmt</t>
  </si>
  <si>
    <t>North</t>
  </si>
  <si>
    <t>Widget</t>
  </si>
  <si>
    <t>South</t>
  </si>
  <si>
    <t>Gadget</t>
  </si>
  <si>
    <t>East</t>
  </si>
  <si>
    <t>Gizmo</t>
  </si>
  <si>
    <r>
      <t>Ranges: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Region = A2:A13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Product = B2:B13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SaleDate = C2:C13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SalesAmt = D2:D13</t>
    </r>
  </si>
  <si>
    <t>Formula (sum sales where Region = "North" AND Product = "Widget"):</t>
  </si>
  <si>
    <r>
      <t>Expected result: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5100</t>
    </r>
    <r>
      <rPr>
        <sz val="11"/>
        <color theme="1"/>
        <rFont val="Aptos Narrow"/>
        <family val="2"/>
        <scheme val="minor"/>
      </rPr>
      <t xml:space="preserve"> (1200 + 1500 + 1100 + 1300)</t>
    </r>
  </si>
  <si>
    <r>
      <t xml:space="preserve">Dataset B — Sales between two dates (use for </t>
    </r>
    <r>
      <rPr>
        <b/>
        <i/>
        <sz val="12"/>
        <color theme="1"/>
        <rFont val="Aptos Narrow"/>
        <family val="2"/>
        <scheme val="minor"/>
      </rPr>
      <t>Sum between two dates</t>
    </r>
    <r>
      <rPr>
        <b/>
        <sz val="12"/>
        <color theme="1"/>
        <rFont val="Aptos Narrow"/>
        <family val="2"/>
        <scheme val="minor"/>
      </rPr>
      <t>)</t>
    </r>
  </si>
  <si>
    <r>
      <t>Place in F1:H9</t>
    </r>
    <r>
      <rPr>
        <sz val="11"/>
        <color theme="1"/>
        <rFont val="Aptos Narrow"/>
        <family val="2"/>
        <scheme val="minor"/>
      </rPr>
      <t xml:space="preserve"> (3 columns)</t>
    </r>
  </si>
  <si>
    <t>OrderID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</si>
  <si>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</si>
  <si>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</si>
  <si>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</si>
  <si>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</si>
  <si>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</si>
  <si>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</si>
  <si>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</si>
  <si>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</si>
  <si>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r>
      <t>Ranges: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SaleDate2 = F2:F9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SalesAmt2 = G2:G9</t>
    </r>
  </si>
  <si>
    <r>
      <t>Cells for period:</t>
    </r>
    <r>
      <rPr>
        <sz val="11"/>
        <color theme="1"/>
        <rFont val="Aptos Narrow"/>
        <family val="2"/>
        <scheme val="minor"/>
      </rPr>
      <t xml:space="preserve"> put </t>
    </r>
    <r>
      <rPr>
        <sz val="10"/>
        <color theme="1"/>
        <rFont val="Arial Unicode MS"/>
      </rPr>
      <t>StartDate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J1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</rPr>
      <t>2026-01-10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EndDate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J2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</rPr>
      <t>2026-01-31</t>
    </r>
  </si>
  <si>
    <t>Formula (sum sales where SaleDate &gt; StartDate AND ≤ EndDate):</t>
  </si>
  <si>
    <r>
      <t>Expected result: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2950</t>
    </r>
    <r>
      <rPr>
        <sz val="11"/>
        <color theme="1"/>
        <rFont val="Aptos Narrow"/>
        <family val="2"/>
        <scheme val="minor"/>
      </rPr>
      <t xml:space="preserve"> (1200 + 800 + 950)</t>
    </r>
  </si>
  <si>
    <r>
      <t xml:space="preserve">Dataset C — Exclude a value (use for </t>
    </r>
    <r>
      <rPr>
        <b/>
        <i/>
        <sz val="12"/>
        <color theme="1"/>
        <rFont val="Aptos Narrow"/>
        <family val="2"/>
        <scheme val="minor"/>
      </rPr>
      <t>Exclude a value from sum</t>
    </r>
    <r>
      <rPr>
        <b/>
        <sz val="12"/>
        <color theme="1"/>
        <rFont val="Aptos Narrow"/>
        <family val="2"/>
        <scheme val="minor"/>
      </rPr>
      <t>)</t>
    </r>
  </si>
  <si>
    <r>
      <t>Place in K1:N9</t>
    </r>
    <r>
      <rPr>
        <sz val="11"/>
        <color theme="1"/>
        <rFont val="Aptos Narrow"/>
        <family val="2"/>
        <scheme val="minor"/>
      </rPr>
      <t xml:space="preserve"> (4 columns)</t>
    </r>
  </si>
  <si>
    <t>Category</t>
  </si>
  <si>
    <t>SalesRep</t>
  </si>
  <si>
    <t>Amount</t>
  </si>
  <si>
    <t>Notes</t>
  </si>
  <si>
    <t>Fruit</t>
  </si>
  <si>
    <t>Tom</t>
  </si>
  <si>
    <t>Fresh</t>
  </si>
  <si>
    <t>Jerry</t>
  </si>
  <si>
    <t>Ripe</t>
  </si>
  <si>
    <t>Vegetables</t>
  </si>
  <si>
    <t>Organic</t>
  </si>
  <si>
    <t>Discount</t>
  </si>
  <si>
    <t>Dairy</t>
  </si>
  <si>
    <t>Chilled</t>
  </si>
  <si>
    <t>Damaged</t>
  </si>
  <si>
    <t>Local</t>
  </si>
  <si>
    <t>Premium</t>
  </si>
  <si>
    <r>
      <t>Ranges: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Category = K2:K9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SalesRep = L2:L9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Amount = M2:M9</t>
    </r>
  </si>
  <si>
    <t>Formula (sum Amount where SalesRep = "Tom" AND Category &lt;&gt; "Fruit"):</t>
  </si>
  <si>
    <r>
      <t>Expected result: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600</t>
    </r>
    <r>
      <rPr>
        <sz val="11"/>
        <color theme="1"/>
        <rFont val="Aptos Narrow"/>
        <family val="2"/>
        <scheme val="minor"/>
      </rPr>
      <t xml:space="preserve"> (only the Vegetables row for Tom)</t>
    </r>
  </si>
  <si>
    <t>Notes &amp; quick tips</t>
  </si>
  <si>
    <r>
      <t>Date cells</t>
    </r>
    <r>
      <rPr>
        <sz val="11"/>
        <color theme="1"/>
        <rFont val="Aptos Narrow"/>
        <family val="2"/>
        <scheme val="minor"/>
      </rPr>
      <t xml:space="preserve"> must be real Excel dates (not text). If your pasted dates appear left‑aligned or formulas return 0, convert text dates with </t>
    </r>
    <r>
      <rPr>
        <sz val="10"/>
        <color theme="1"/>
        <rFont val="Arial Unicode MS"/>
      </rPr>
      <t>=DATEVALUE()</t>
    </r>
    <r>
      <rPr>
        <sz val="11"/>
        <color theme="1"/>
        <rFont val="Aptos Narrow"/>
        <family val="2"/>
        <scheme val="minor"/>
      </rPr>
      <t xml:space="preserve"> or use </t>
    </r>
    <r>
      <rPr>
        <sz val="10"/>
        <color theme="1"/>
        <rFont val="Arial Unicode MS"/>
      </rPr>
      <t>Text to Columns</t>
    </r>
    <r>
      <rPr>
        <sz val="11"/>
        <color theme="1"/>
        <rFont val="Aptos Narrow"/>
        <family val="2"/>
        <scheme val="minor"/>
      </rPr>
      <t xml:space="preserve"> → Date.</t>
    </r>
  </si>
  <si>
    <r>
      <t>Range sizes must match</t>
    </r>
    <r>
      <rPr>
        <sz val="11"/>
        <color theme="1"/>
        <rFont val="Aptos Narrow"/>
        <family val="2"/>
        <scheme val="minor"/>
      </rPr>
      <t xml:space="preserve"> exactly; </t>
    </r>
    <r>
      <rPr>
        <sz val="10"/>
        <color theme="1"/>
        <rFont val="Arial Unicode MS"/>
      </rPr>
      <t>SUMIFS</t>
    </r>
    <r>
      <rPr>
        <sz val="11"/>
        <color theme="1"/>
        <rFont val="Aptos Narrow"/>
        <family val="2"/>
        <scheme val="minor"/>
      </rPr>
      <t xml:space="preserve"> returns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 xml:space="preserve"> if ranges differ in length.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</si>
  <si>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dynamic references</t>
    </r>
    <r>
      <rPr>
        <sz val="11"/>
        <color theme="1"/>
        <rFont val="Aptos Narrow"/>
        <family val="2"/>
        <scheme val="minor"/>
      </rPr>
      <t xml:space="preserve">, convert each table into an Excel Table (select range → Insert → Table) and use structured names like </t>
    </r>
    <r>
      <rPr>
        <sz val="10"/>
        <color theme="1"/>
        <rFont val="Arial Unicode MS"/>
      </rPr>
      <t>Table1[SalesAmt]</t>
    </r>
    <r>
      <rPr>
        <sz val="11"/>
        <color theme="1"/>
        <rFont val="Aptos Narrow"/>
        <family val="2"/>
        <scheme val="minor"/>
      </rPr>
      <t xml:space="preserve"> in formulas.</t>
    </r>
  </si>
  <si>
    <r>
      <t xml:space="preserve">To </t>
    </r>
    <r>
      <rPr>
        <b/>
        <sz val="11"/>
        <color theme="1"/>
        <rFont val="Aptos Narrow"/>
        <family val="2"/>
        <scheme val="minor"/>
      </rPr>
      <t>exclude multiple categories</t>
    </r>
    <r>
      <rPr>
        <sz val="11"/>
        <color theme="1"/>
        <rFont val="Aptos Narrow"/>
        <family val="2"/>
        <scheme val="minor"/>
      </rPr>
      <t xml:space="preserve"> (OR logic), use </t>
    </r>
    <r>
      <rPr>
        <sz val="10"/>
        <color theme="1"/>
        <rFont val="Arial Unicode MS"/>
      </rPr>
      <t>SUMIFS</t>
    </r>
    <r>
      <rPr>
        <sz val="11"/>
        <color theme="1"/>
        <rFont val="Aptos Narrow"/>
        <family val="2"/>
        <scheme val="minor"/>
      </rPr>
      <t xml:space="preserve"> twice and add results, or use </t>
    </r>
    <r>
      <rPr>
        <sz val="10"/>
        <color theme="1"/>
        <rFont val="Arial Unicode MS"/>
      </rPr>
      <t>SUMPRODUCT</t>
    </r>
    <r>
      <rPr>
        <sz val="11"/>
        <color theme="1"/>
        <rFont val="Aptos Narrow"/>
        <family val="2"/>
        <scheme val="minor"/>
      </rPr>
      <t xml:space="preserve"> for more complex OR conditions.</t>
    </r>
  </si>
  <si>
    <r>
      <t xml:space="preserve">If you want, I can also provide the same datasets formatted as a CSV block you can paste directly into Excel. Which format do you prefer: </t>
    </r>
    <r>
      <rPr>
        <b/>
        <sz val="11"/>
        <color theme="1"/>
        <rFont val="Aptos Narrow"/>
        <family val="2"/>
        <scheme val="minor"/>
      </rPr>
      <t>CSV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Excel Table sample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keep as shown</t>
    </r>
    <r>
      <rPr>
        <sz val="11"/>
        <color theme="1"/>
        <rFont val="Aptos Narrow"/>
        <family val="2"/>
        <scheme val="minor"/>
      </rPr>
      <t>?</t>
    </r>
  </si>
  <si>
    <t>=SUMIFS(B2:B9,A2:A9,"&gt;="&amp;J1,A2:A9,"&lt;"&amp;J2)</t>
  </si>
  <si>
    <t>=SUMIFS(D2:D13,A2:A13,"South",B2:B13,"Gadget")</t>
  </si>
  <si>
    <t>=SUMIFS(D2:D13, A2:A13, "North", B2:B13, "Widget")</t>
  </si>
  <si>
    <t>=SUMIFS(C2:C9,B2:B9,"Tom",A2:A9,"&lt;&gt;Fruit")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</si>
</sst>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1" fillId="0" borderId="0" xfId="0" applyNumberFormat="1" applyFont="1" applyAlignment="1">
      <alignment horizontal="left" vertical="center" indent="1"/>
    </xf>
    <xf numFmtId="0" fontId="0" fillId="0" borderId="0" xfId="0" quotePrefix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C6A8-BAD2-44D6-A103-C87CFE6A9494}">
  <dimension ref="A1:D82"/>
  <sheetViews>
    <sheetView topLeftCell="A58" workbookViewId="0">
      <selection activeCell="A58" sqref="A58:D66"/>
    </sheetView>
  </sheetViews>
  <sheetFormatPr defaultRowHeight="14.4"/>
  <cols>
    <col min="1" max="1" width="15.5546875" customWidth="1"/>
    <col min="3" max="3" width="10.33203125" bestFit="1" customWidth="1"/>
  </cols>
  <sheetData>
    <row r="1" spans="1:4" ht="18">
      <c r="A1" s="1" t="s">
        <v>0</v>
      </c>
    </row>
    <row r="3" spans="1:4">
      <c r="A3" t="s">
        <v>1</v>
      </c>
    </row>
    <row r="7" spans="1:4" ht="15.6">
      <c r="A7" s="2" t="s">
        <v>2</v>
      </c>
    </row>
    <row r="9" spans="1:4">
      <c r="A9" s="3" t="s">
        <v>3</v>
      </c>
    </row>
    <row r="11" spans="1:4" ht="28.8">
      <c r="A11" s="4" t="s">
        <v>4</v>
      </c>
      <c r="B11" s="6" t="s">
        <v>5</v>
      </c>
      <c r="C11" s="6" t="s">
        <v>6</v>
      </c>
      <c r="D11" s="6" t="s">
        <v>7</v>
      </c>
    </row>
    <row r="12" spans="1:4">
      <c r="A12" s="7" t="s">
        <v>8</v>
      </c>
      <c r="B12" s="5" t="s">
        <v>9</v>
      </c>
      <c r="C12" s="9">
        <v>46027</v>
      </c>
      <c r="D12" s="5">
        <v>1200</v>
      </c>
    </row>
    <row r="13" spans="1:4">
      <c r="A13" s="7" t="s">
        <v>10</v>
      </c>
      <c r="B13" s="5" t="s">
        <v>11</v>
      </c>
      <c r="C13" s="9">
        <v>46029</v>
      </c>
      <c r="D13" s="5">
        <v>800</v>
      </c>
    </row>
    <row r="14" spans="1:4">
      <c r="A14" s="7" t="s">
        <v>8</v>
      </c>
      <c r="B14" s="5" t="s">
        <v>9</v>
      </c>
      <c r="C14" s="9">
        <v>46034</v>
      </c>
      <c r="D14" s="5">
        <v>1500</v>
      </c>
    </row>
    <row r="15" spans="1:4">
      <c r="A15" s="7" t="s">
        <v>12</v>
      </c>
      <c r="B15" s="5" t="s">
        <v>9</v>
      </c>
      <c r="C15" s="9">
        <v>46037</v>
      </c>
      <c r="D15" s="5">
        <v>700</v>
      </c>
    </row>
    <row r="16" spans="1:4">
      <c r="A16" s="7" t="s">
        <v>8</v>
      </c>
      <c r="B16" s="5" t="s">
        <v>13</v>
      </c>
      <c r="C16" s="9">
        <v>46042</v>
      </c>
      <c r="D16" s="5">
        <v>400</v>
      </c>
    </row>
    <row r="17" spans="1:4">
      <c r="A17" s="7" t="s">
        <v>10</v>
      </c>
      <c r="B17" s="5" t="s">
        <v>9</v>
      </c>
      <c r="C17" s="9">
        <v>46044</v>
      </c>
      <c r="D17" s="5">
        <v>950</v>
      </c>
    </row>
    <row r="18" spans="1:4">
      <c r="A18" s="7" t="s">
        <v>8</v>
      </c>
      <c r="B18" s="5" t="s">
        <v>9</v>
      </c>
      <c r="C18" s="9">
        <v>46055</v>
      </c>
      <c r="D18" s="5">
        <v>1100</v>
      </c>
    </row>
    <row r="19" spans="1:4">
      <c r="A19" s="7" t="s">
        <v>12</v>
      </c>
      <c r="B19" s="5" t="s">
        <v>11</v>
      </c>
      <c r="C19" s="9">
        <v>46058</v>
      </c>
      <c r="D19" s="5">
        <v>600</v>
      </c>
    </row>
    <row r="20" spans="1:4">
      <c r="A20" s="7" t="s">
        <v>10</v>
      </c>
      <c r="B20" s="5" t="s">
        <v>13</v>
      </c>
      <c r="C20" s="9">
        <v>46063</v>
      </c>
      <c r="D20" s="5">
        <v>300</v>
      </c>
    </row>
    <row r="21" spans="1:4">
      <c r="A21" s="7" t="s">
        <v>8</v>
      </c>
      <c r="B21" s="5" t="s">
        <v>9</v>
      </c>
      <c r="C21" s="9">
        <v>46067</v>
      </c>
      <c r="D21" s="5">
        <v>1300</v>
      </c>
    </row>
    <row r="22" spans="1:4">
      <c r="A22" s="7" t="s">
        <v>10</v>
      </c>
      <c r="B22" s="5" t="s">
        <v>9</v>
      </c>
      <c r="C22" s="9">
        <v>46071</v>
      </c>
      <c r="D22" s="5">
        <v>720</v>
      </c>
    </row>
    <row r="23" spans="1:4">
      <c r="A23" s="7" t="s">
        <v>12</v>
      </c>
      <c r="B23" s="5" t="s">
        <v>9</v>
      </c>
      <c r="C23" s="9">
        <v>46073</v>
      </c>
      <c r="D23" s="5">
        <v>540</v>
      </c>
    </row>
    <row r="24" spans="1:4">
      <c r="A24" s="10"/>
    </row>
    <row r="25" spans="1:4">
      <c r="A25" s="11" t="s">
        <v>14</v>
      </c>
    </row>
    <row r="26" spans="1:4">
      <c r="A26" s="11" t="s">
        <v>15</v>
      </c>
    </row>
    <row r="27" spans="1:4">
      <c r="A27" s="12">
        <f>SUMIFS(D2:D13, A2:A13, "North", B2:B13, "Widget")</f>
        <v>1200</v>
      </c>
    </row>
    <row r="28" spans="1:4">
      <c r="A28" s="11" t="s">
        <v>16</v>
      </c>
    </row>
    <row r="32" spans="1:4" ht="15.6">
      <c r="A32" s="2" t="s">
        <v>17</v>
      </c>
    </row>
    <row r="34" spans="1:3">
      <c r="A34" s="3" t="s">
        <v>18</v>
      </c>
    </row>
    <row r="36" spans="1:3" ht="28.8">
      <c r="A36" s="4" t="s">
        <v>6</v>
      </c>
      <c r="B36" s="6" t="s">
        <v>7</v>
      </c>
      <c r="C36" s="6" t="s">
        <v>19</v>
      </c>
    </row>
    <row r="37" spans="1:3">
      <c r="A37" s="13">
        <v>46023</v>
      </c>
      <c r="B37" s="5">
        <v>500</v>
      </c>
      <c r="C37" s="5" t="s">
        <v>20</v>
      </c>
    </row>
    <row r="38" spans="1:3">
      <c r="A38" s="13">
        <v>46032</v>
      </c>
      <c r="B38" s="5">
        <v>1200</v>
      </c>
      <c r="C38" s="5" t="s">
        <v>21</v>
      </c>
    </row>
    <row r="39" spans="1:3">
      <c r="A39" s="13">
        <v>46042</v>
      </c>
      <c r="B39" s="5">
        <v>800</v>
      </c>
      <c r="C39" s="5" t="s">
        <v>22</v>
      </c>
    </row>
    <row r="40" spans="1:3">
      <c r="A40" s="13">
        <v>46053</v>
      </c>
      <c r="B40" s="5">
        <v>950</v>
      </c>
      <c r="C40" s="5" t="s">
        <v>23</v>
      </c>
    </row>
    <row r="41" spans="1:3">
      <c r="A41" s="13">
        <v>46056</v>
      </c>
      <c r="B41" s="5">
        <v>1100</v>
      </c>
      <c r="C41" s="5" t="s">
        <v>24</v>
      </c>
    </row>
    <row r="42" spans="1:3">
      <c r="A42" s="13">
        <v>46063</v>
      </c>
      <c r="B42" s="5">
        <v>700</v>
      </c>
      <c r="C42" s="5" t="s">
        <v>25</v>
      </c>
    </row>
    <row r="43" spans="1:3">
      <c r="A43" s="13">
        <v>46068</v>
      </c>
      <c r="B43" s="5">
        <v>1300</v>
      </c>
      <c r="C43" s="5" t="s">
        <v>26</v>
      </c>
    </row>
    <row r="44" spans="1:3">
      <c r="A44" s="13">
        <v>46081</v>
      </c>
      <c r="B44" s="5">
        <v>600</v>
      </c>
      <c r="C44" s="5" t="s">
        <v>27</v>
      </c>
    </row>
    <row r="45" spans="1:3">
      <c r="A45" s="10"/>
    </row>
    <row r="46" spans="1:3">
      <c r="A46" s="11" t="s">
        <v>28</v>
      </c>
    </row>
    <row r="47" spans="1:3">
      <c r="A47" s="11" t="s">
        <v>29</v>
      </c>
    </row>
    <row r="48" spans="1:3">
      <c r="A48" s="11" t="s">
        <v>30</v>
      </c>
    </row>
    <row r="49" spans="1:4">
      <c r="A49" s="12">
        <f ca="1">SUMIFS(G2:G9, F2:F9, "&gt;"&amp;J1, F2:F9, "&lt;="&amp;J2)</f>
        <v>0</v>
      </c>
    </row>
    <row r="50" spans="1:4">
      <c r="A50" s="11" t="s">
        <v>31</v>
      </c>
    </row>
    <row r="54" spans="1:4" ht="15.6">
      <c r="A54" s="2" t="s">
        <v>32</v>
      </c>
    </row>
    <row r="56" spans="1:4">
      <c r="A56" s="3" t="s">
        <v>33</v>
      </c>
    </row>
    <row r="58" spans="1:4">
      <c r="A58" s="4" t="s">
        <v>34</v>
      </c>
      <c r="B58" s="6" t="s">
        <v>35</v>
      </c>
      <c r="C58" s="6" t="s">
        <v>36</v>
      </c>
      <c r="D58" s="6" t="s">
        <v>37</v>
      </c>
    </row>
    <row r="59" spans="1:4">
      <c r="A59" s="7" t="s">
        <v>38</v>
      </c>
      <c r="B59" s="5" t="s">
        <v>39</v>
      </c>
      <c r="C59" s="5">
        <v>400</v>
      </c>
      <c r="D59" s="5" t="s">
        <v>40</v>
      </c>
    </row>
    <row r="60" spans="1:4">
      <c r="A60" s="7" t="s">
        <v>38</v>
      </c>
      <c r="B60" s="5" t="s">
        <v>41</v>
      </c>
      <c r="C60" s="5">
        <v>250</v>
      </c>
      <c r="D60" s="5" t="s">
        <v>42</v>
      </c>
    </row>
    <row r="61" spans="1:4" ht="28.8">
      <c r="A61" s="7" t="s">
        <v>43</v>
      </c>
      <c r="B61" s="5" t="s">
        <v>39</v>
      </c>
      <c r="C61" s="5">
        <v>600</v>
      </c>
      <c r="D61" s="5" t="s">
        <v>44</v>
      </c>
    </row>
    <row r="62" spans="1:4">
      <c r="A62" s="7" t="s">
        <v>38</v>
      </c>
      <c r="B62" s="5" t="s">
        <v>39</v>
      </c>
      <c r="C62" s="5">
        <v>350</v>
      </c>
      <c r="D62" s="5" t="s">
        <v>45</v>
      </c>
    </row>
    <row r="63" spans="1:4">
      <c r="A63" s="7" t="s">
        <v>46</v>
      </c>
      <c r="B63" s="5" t="s">
        <v>39</v>
      </c>
      <c r="C63" s="5">
        <v>200</v>
      </c>
      <c r="D63" s="5" t="s">
        <v>47</v>
      </c>
    </row>
    <row r="64" spans="1:4">
      <c r="A64" s="7" t="s">
        <v>38</v>
      </c>
      <c r="B64" s="5" t="s">
        <v>39</v>
      </c>
      <c r="C64" s="5">
        <v>150</v>
      </c>
      <c r="D64" s="5" t="s">
        <v>48</v>
      </c>
    </row>
    <row r="65" spans="1:4" ht="28.8">
      <c r="A65" s="7" t="s">
        <v>43</v>
      </c>
      <c r="B65" s="5" t="s">
        <v>41</v>
      </c>
      <c r="C65" s="5">
        <v>300</v>
      </c>
      <c r="D65" s="5" t="s">
        <v>49</v>
      </c>
    </row>
    <row r="66" spans="1:4">
      <c r="A66" s="7" t="s">
        <v>38</v>
      </c>
      <c r="B66" s="5" t="s">
        <v>39</v>
      </c>
      <c r="C66" s="5">
        <v>500</v>
      </c>
      <c r="D66" s="5" t="s">
        <v>50</v>
      </c>
    </row>
    <row r="67" spans="1:4">
      <c r="A67" s="10"/>
    </row>
    <row r="68" spans="1:4">
      <c r="A68" s="11" t="s">
        <v>51</v>
      </c>
    </row>
    <row r="69" spans="1:4">
      <c r="A69" s="11" t="s">
        <v>52</v>
      </c>
    </row>
    <row r="70" spans="1:4">
      <c r="A70" s="12">
        <f ca="1">SUMIFS(M2:M9, L2:L9, "Tom", K2:K9, "&lt;&gt;Fruit")</f>
        <v>0</v>
      </c>
    </row>
    <row r="71" spans="1:4">
      <c r="A71" s="11" t="s">
        <v>53</v>
      </c>
    </row>
    <row r="75" spans="1:4" ht="18">
      <c r="A75" s="1" t="s">
        <v>54</v>
      </c>
    </row>
    <row r="76" spans="1:4">
      <c r="A76" s="10"/>
    </row>
    <row r="77" spans="1:4">
      <c r="A77" s="11" t="s">
        <v>55</v>
      </c>
    </row>
    <row r="78" spans="1:4">
      <c r="A78" s="11" t="s">
        <v>56</v>
      </c>
    </row>
    <row r="79" spans="1:4">
      <c r="A79" s="10" t="s">
        <v>57</v>
      </c>
    </row>
    <row r="80" spans="1:4">
      <c r="A80" s="10" t="s">
        <v>58</v>
      </c>
    </row>
    <row r="82" spans="1:1">
      <c r="A8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CC6D-CD4A-484F-8CB2-98A81D7F34FD}">
  <dimension ref="A1:H13"/>
  <sheetViews>
    <sheetView workbookViewId="0">
      <selection activeCell="H3" sqref="H3"/>
    </sheetView>
  </sheetViews>
  <sheetFormatPr defaultRowHeight="14.4"/>
  <cols>
    <col min="3" max="3" width="11.33203125" customWidth="1"/>
  </cols>
  <sheetData>
    <row r="1" spans="1:8" ht="28.8">
      <c r="A1" s="4" t="s">
        <v>4</v>
      </c>
      <c r="B1" s="6" t="s">
        <v>5</v>
      </c>
      <c r="C1" s="6" t="s">
        <v>6</v>
      </c>
      <c r="D1" s="6" t="s">
        <v>7</v>
      </c>
    </row>
    <row r="2" spans="1:8">
      <c r="A2" s="7" t="s">
        <v>8</v>
      </c>
      <c r="B2" s="5" t="s">
        <v>9</v>
      </c>
      <c r="C2" s="9">
        <v>46027</v>
      </c>
      <c r="D2" s="5">
        <v>1200</v>
      </c>
      <c r="F2">
        <f>SUMIFS(D2:D13, A2:A13, "North", B2:B13, "Widget")</f>
        <v>5100</v>
      </c>
      <c r="H2" s="19" t="s">
        <v>62</v>
      </c>
    </row>
    <row r="3" spans="1:8">
      <c r="A3" s="7" t="s">
        <v>10</v>
      </c>
      <c r="B3" s="5" t="s">
        <v>11</v>
      </c>
      <c r="C3" s="9">
        <v>46029</v>
      </c>
      <c r="D3" s="5">
        <v>800</v>
      </c>
      <c r="F3">
        <f>SUMIFS(D2:D13,A2:A13,"South",B2:B13,"Gadget")</f>
        <v>1750</v>
      </c>
      <c r="H3" s="19" t="s">
        <v>61</v>
      </c>
    </row>
    <row r="4" spans="1:8">
      <c r="A4" s="7" t="s">
        <v>8</v>
      </c>
      <c r="B4" s="5" t="s">
        <v>9</v>
      </c>
      <c r="C4" s="9">
        <v>46034</v>
      </c>
      <c r="D4" s="5">
        <v>1500</v>
      </c>
    </row>
    <row r="5" spans="1:8">
      <c r="A5" s="7" t="s">
        <v>12</v>
      </c>
      <c r="B5" s="5" t="s">
        <v>9</v>
      </c>
      <c r="C5" s="9">
        <v>46037</v>
      </c>
      <c r="D5" s="5">
        <v>700</v>
      </c>
    </row>
    <row r="6" spans="1:8">
      <c r="A6" s="7" t="s">
        <v>8</v>
      </c>
      <c r="B6" s="5" t="s">
        <v>13</v>
      </c>
      <c r="C6" s="9">
        <v>46042</v>
      </c>
      <c r="D6" s="5">
        <v>400</v>
      </c>
    </row>
    <row r="7" spans="1:8">
      <c r="A7" s="7" t="s">
        <v>10</v>
      </c>
      <c r="B7" s="5" t="s">
        <v>11</v>
      </c>
      <c r="C7" s="9">
        <v>46044</v>
      </c>
      <c r="D7" s="5">
        <v>950</v>
      </c>
    </row>
    <row r="8" spans="1:8">
      <c r="A8" s="7" t="s">
        <v>8</v>
      </c>
      <c r="B8" s="5" t="s">
        <v>9</v>
      </c>
      <c r="C8" s="9">
        <v>46055</v>
      </c>
      <c r="D8" s="5">
        <v>1100</v>
      </c>
    </row>
    <row r="9" spans="1:8">
      <c r="A9" s="7" t="s">
        <v>12</v>
      </c>
      <c r="B9" s="5" t="s">
        <v>11</v>
      </c>
      <c r="C9" s="9">
        <v>46058</v>
      </c>
      <c r="D9" s="5">
        <v>600</v>
      </c>
    </row>
    <row r="10" spans="1:8">
      <c r="A10" s="7" t="s">
        <v>10</v>
      </c>
      <c r="B10" s="5" t="s">
        <v>13</v>
      </c>
      <c r="C10" s="9">
        <v>46063</v>
      </c>
      <c r="D10" s="5">
        <v>300</v>
      </c>
    </row>
    <row r="11" spans="1:8">
      <c r="A11" s="7" t="s">
        <v>8</v>
      </c>
      <c r="B11" s="5" t="s">
        <v>9</v>
      </c>
      <c r="C11" s="9">
        <v>46067</v>
      </c>
      <c r="D11" s="5">
        <v>1300</v>
      </c>
    </row>
    <row r="12" spans="1:8">
      <c r="A12" s="7" t="s">
        <v>10</v>
      </c>
      <c r="B12" s="5" t="s">
        <v>9</v>
      </c>
      <c r="C12" s="9">
        <v>46071</v>
      </c>
      <c r="D12" s="5">
        <v>720</v>
      </c>
    </row>
    <row r="13" spans="1:8">
      <c r="A13" s="7" t="s">
        <v>12</v>
      </c>
      <c r="B13" s="5" t="s">
        <v>9</v>
      </c>
      <c r="C13" s="9">
        <v>46073</v>
      </c>
      <c r="D13" s="5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7CA5-2F6A-4377-BAE8-072478DF5E65}">
  <dimension ref="A1:J9"/>
  <sheetViews>
    <sheetView workbookViewId="0">
      <selection activeCell="F14" sqref="F14"/>
    </sheetView>
  </sheetViews>
  <sheetFormatPr defaultRowHeight="14.4"/>
  <cols>
    <col min="1" max="1" width="10.88671875" customWidth="1"/>
    <col min="10" max="10" width="11.33203125" bestFit="1" customWidth="1"/>
  </cols>
  <sheetData>
    <row r="1" spans="1:10" ht="28.8">
      <c r="A1" s="14" t="s">
        <v>6</v>
      </c>
      <c r="B1" s="15" t="s">
        <v>7</v>
      </c>
      <c r="C1" s="15" t="s">
        <v>19</v>
      </c>
      <c r="E1" s="19" t="s">
        <v>60</v>
      </c>
      <c r="J1" s="18">
        <v>46032</v>
      </c>
    </row>
    <row r="2" spans="1:10">
      <c r="A2" s="16">
        <v>46023</v>
      </c>
      <c r="B2" s="17">
        <v>500</v>
      </c>
      <c r="C2" s="17" t="s">
        <v>20</v>
      </c>
      <c r="E2">
        <f>SUMIFS(B2:B9,A2:A9,"&gt;="&amp;J1,A2:A9,"&lt;"&amp;J2)</f>
        <v>2000</v>
      </c>
      <c r="J2" s="8">
        <v>46053</v>
      </c>
    </row>
    <row r="3" spans="1:10">
      <c r="A3" s="16">
        <v>46032</v>
      </c>
      <c r="B3" s="17">
        <v>1200</v>
      </c>
      <c r="C3" s="17" t="s">
        <v>21</v>
      </c>
    </row>
    <row r="4" spans="1:10">
      <c r="A4" s="16">
        <v>46042</v>
      </c>
      <c r="B4" s="17">
        <v>800</v>
      </c>
      <c r="C4" s="17" t="s">
        <v>22</v>
      </c>
    </row>
    <row r="5" spans="1:10">
      <c r="A5" s="16">
        <v>46053</v>
      </c>
      <c r="B5" s="17">
        <v>950</v>
      </c>
      <c r="C5" s="17" t="s">
        <v>23</v>
      </c>
    </row>
    <row r="6" spans="1:10">
      <c r="A6" s="16">
        <v>46056</v>
      </c>
      <c r="B6" s="17">
        <v>1100</v>
      </c>
      <c r="C6" s="17" t="s">
        <v>24</v>
      </c>
    </row>
    <row r="7" spans="1:10">
      <c r="A7" s="16">
        <v>46063</v>
      </c>
      <c r="B7" s="17">
        <v>700</v>
      </c>
      <c r="C7" s="17" t="s">
        <v>25</v>
      </c>
    </row>
    <row r="8" spans="1:10">
      <c r="A8" s="16">
        <v>46068</v>
      </c>
      <c r="B8" s="17">
        <v>1300</v>
      </c>
      <c r="C8" s="17" t="s">
        <v>26</v>
      </c>
    </row>
    <row r="9" spans="1:10">
      <c r="A9" s="16">
        <v>46081</v>
      </c>
      <c r="B9" s="17">
        <v>600</v>
      </c>
      <c r="C9" s="1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5D6F-4896-4712-A428-F80DDAC2D507}">
  <dimension ref="A1:H9"/>
  <sheetViews>
    <sheetView tabSelected="1" workbookViewId="0">
      <selection activeCell="H4" sqref="H4"/>
    </sheetView>
  </sheetViews>
  <sheetFormatPr defaultRowHeight="14.4"/>
  <cols>
    <col min="1" max="1" width="11.5546875" customWidth="1"/>
    <col min="2" max="2" width="12.21875" customWidth="1"/>
    <col min="3" max="3" width="12.5546875" customWidth="1"/>
    <col min="4" max="4" width="10.5546875" customWidth="1"/>
  </cols>
  <sheetData>
    <row r="1" spans="1:8" ht="18" customHeight="1">
      <c r="A1" s="14" t="s">
        <v>34</v>
      </c>
      <c r="B1" s="15" t="s">
        <v>35</v>
      </c>
      <c r="C1" s="15" t="s">
        <v>36</v>
      </c>
      <c r="D1" s="15" t="s">
        <v>37</v>
      </c>
    </row>
    <row r="2" spans="1:8" ht="18" customHeight="1">
      <c r="A2" s="20" t="s">
        <v>38</v>
      </c>
      <c r="B2" s="17" t="s">
        <v>39</v>
      </c>
      <c r="C2" s="17">
        <v>400</v>
      </c>
      <c r="D2" s="21" t="s">
        <v>40</v>
      </c>
    </row>
    <row r="3" spans="1:8" ht="18" customHeight="1">
      <c r="A3" s="20" t="s">
        <v>38</v>
      </c>
      <c r="B3" s="17" t="s">
        <v>41</v>
      </c>
      <c r="C3" s="17">
        <v>250</v>
      </c>
      <c r="D3" s="21" t="s">
        <v>42</v>
      </c>
      <c r="F3">
        <f>SUMIFS(C2:C9,B2:B9,"Tom",A2:A9,"&lt;&gt;Fruit")</f>
        <v>800</v>
      </c>
      <c r="H3" s="19" t="s">
        <v>63</v>
      </c>
    </row>
    <row r="4" spans="1:8" ht="18" customHeight="1">
      <c r="A4" s="20" t="s">
        <v>43</v>
      </c>
      <c r="B4" s="17" t="s">
        <v>39</v>
      </c>
      <c r="C4" s="17">
        <v>600</v>
      </c>
      <c r="D4" s="21" t="s">
        <v>44</v>
      </c>
    </row>
    <row r="5" spans="1:8" ht="18" customHeight="1">
      <c r="A5" s="20" t="s">
        <v>38</v>
      </c>
      <c r="B5" s="17" t="s">
        <v>39</v>
      </c>
      <c r="C5" s="17">
        <v>350</v>
      </c>
      <c r="D5" s="21" t="s">
        <v>45</v>
      </c>
    </row>
    <row r="6" spans="1:8" ht="18" customHeight="1">
      <c r="A6" s="20" t="s">
        <v>46</v>
      </c>
      <c r="B6" s="17" t="s">
        <v>39</v>
      </c>
      <c r="C6" s="17">
        <v>200</v>
      </c>
      <c r="D6" s="21" t="s">
        <v>47</v>
      </c>
    </row>
    <row r="7" spans="1:8" ht="18" customHeight="1">
      <c r="A7" s="20" t="s">
        <v>38</v>
      </c>
      <c r="B7" s="17" t="s">
        <v>39</v>
      </c>
      <c r="C7" s="17">
        <v>150</v>
      </c>
      <c r="D7" s="21" t="s">
        <v>48</v>
      </c>
    </row>
    <row r="8" spans="1:8" ht="18" customHeight="1">
      <c r="A8" s="20" t="s">
        <v>43</v>
      </c>
      <c r="B8" s="17" t="s">
        <v>41</v>
      </c>
      <c r="C8" s="17">
        <v>300</v>
      </c>
      <c r="D8" s="21" t="s">
        <v>49</v>
      </c>
    </row>
    <row r="9" spans="1:8" ht="18" customHeight="1">
      <c r="A9" s="20" t="s">
        <v>38</v>
      </c>
      <c r="B9" s="17" t="s">
        <v>39</v>
      </c>
      <c r="C9" s="17">
        <v>500</v>
      </c>
      <c r="D9" s="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2026-02-05T11:25:39Z</dcterms:created>
  <dcterms:modified xsi:type="dcterms:W3CDTF">2026-02-05T11:39:18Z</dcterms:modified>
</cp:coreProperties>
</file>
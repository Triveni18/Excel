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5A355F3D-6265-4FCB-A7B6-09323F4D30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 (4)" sheetId="4" r:id="rId1"/>
    <sheet name="Sheet1 (3)" sheetId="3" r:id="rId2"/>
    <sheet name="Sheet1 (2)" sheetId="2" r:id="rId3"/>
    <sheet name="Sheet1" sheetId="1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2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5" i="3" a="1"/>
  <c r="B25" i="3"/>
  <c r="B26" i="3" a="1"/>
  <c r="B26" i="3"/>
  <c r="B27" i="3" a="1"/>
  <c r="B27" i="3" s="1"/>
  <c r="B28" i="3" a="1"/>
  <c r="B28" i="3"/>
  <c r="B29" i="3" a="1"/>
  <c r="B29" i="3" s="1"/>
  <c r="B30" i="3" a="1"/>
  <c r="B30" i="3" s="1"/>
  <c r="B31" i="3" a="1"/>
  <c r="B31" i="3" s="1"/>
  <c r="B32" i="3" a="1"/>
  <c r="B32" i="3" s="1"/>
  <c r="B33" i="3" a="1"/>
  <c r="B33" i="3" s="1"/>
  <c r="B34" i="3" a="1"/>
  <c r="B34" i="3" s="1"/>
  <c r="B35" i="3" a="1"/>
  <c r="B35" i="3" s="1"/>
  <c r="B36" i="3" a="1"/>
  <c r="B36" i="3" s="1"/>
  <c r="B37" i="3" a="1"/>
  <c r="B37" i="3"/>
  <c r="B38" i="3" a="1"/>
  <c r="B38" i="3" s="1"/>
  <c r="B39" i="3" a="1"/>
  <c r="B39" i="3" s="1"/>
  <c r="B40" i="3" a="1"/>
  <c r="B40" i="3"/>
  <c r="B41" i="3" a="1"/>
  <c r="B41" i="3" s="1"/>
  <c r="B42" i="3" a="1"/>
  <c r="B42" i="3" s="1"/>
  <c r="B43" i="3" a="1"/>
  <c r="B43" i="3" s="1"/>
  <c r="B44" i="3" a="1"/>
  <c r="B44" i="3" s="1"/>
  <c r="B45" i="3" a="1"/>
  <c r="B45" i="3" s="1"/>
  <c r="B46" i="3" a="1"/>
  <c r="B46" i="3" s="1"/>
  <c r="B47" i="3" a="1"/>
  <c r="B47" i="3" s="1"/>
  <c r="B48" i="3" a="1"/>
  <c r="B48" i="3" s="1"/>
  <c r="B49" i="3" a="1"/>
  <c r="B49" i="3" s="1"/>
  <c r="B50" i="3" a="1"/>
  <c r="B50" i="3" s="1"/>
  <c r="B51" i="3" a="1"/>
  <c r="B51" i="3" s="1"/>
  <c r="B52" i="3" a="1"/>
  <c r="B52" i="3" s="1"/>
  <c r="B53" i="3" a="1"/>
  <c r="B53" i="3" s="1"/>
  <c r="B54" i="3" a="1"/>
  <c r="B54" i="3" s="1"/>
  <c r="B55" i="3" a="1"/>
  <c r="B55" i="3" s="1"/>
  <c r="B56" i="3" a="1"/>
  <c r="B56" i="3" s="1"/>
  <c r="B57" i="3" a="1"/>
  <c r="B57" i="3" s="1"/>
  <c r="B58" i="3" a="1"/>
  <c r="B58" i="3" s="1"/>
  <c r="B59" i="3" a="1"/>
  <c r="B59" i="3" s="1"/>
  <c r="B60" i="3" a="1"/>
  <c r="B60" i="3" s="1"/>
  <c r="B61" i="3" a="1"/>
  <c r="B61" i="3" s="1"/>
  <c r="B62" i="3" a="1"/>
  <c r="B62" i="3" s="1"/>
  <c r="B63" i="3" a="1"/>
  <c r="B63" i="3" s="1"/>
  <c r="B64" i="3" a="1"/>
  <c r="B64" i="3" s="1"/>
  <c r="B65" i="3" a="1"/>
  <c r="B65" i="3" s="1"/>
  <c r="B66" i="3" a="1"/>
  <c r="B66" i="3" s="1"/>
  <c r="B67" i="3" a="1"/>
  <c r="B67" i="3" s="1"/>
  <c r="B68" i="3" a="1"/>
  <c r="B68" i="3" s="1"/>
  <c r="B69" i="3" a="1"/>
  <c r="B69" i="3" s="1"/>
  <c r="B70" i="3" a="1"/>
  <c r="B70" i="3" s="1"/>
  <c r="B71" i="3" a="1"/>
  <c r="B71" i="3" s="1"/>
  <c r="B72" i="3" a="1"/>
  <c r="B72" i="3" s="1"/>
  <c r="B73" i="3" a="1"/>
  <c r="B73" i="3" s="1"/>
  <c r="B74" i="3" a="1"/>
  <c r="B74" i="3" s="1"/>
  <c r="B75" i="3" a="1"/>
  <c r="B75" i="3" s="1"/>
  <c r="B76" i="3" a="1"/>
  <c r="B76" i="3" s="1"/>
  <c r="B77" i="3" a="1"/>
  <c r="B77" i="3" s="1"/>
  <c r="B78" i="3" a="1"/>
  <c r="B78" i="3" s="1"/>
  <c r="B79" i="3" a="1"/>
  <c r="B79" i="3" s="1"/>
  <c r="B80" i="3" a="1"/>
  <c r="B80" i="3" s="1"/>
  <c r="B81" i="3" a="1"/>
  <c r="B81" i="3" s="1"/>
  <c r="B82" i="3" a="1"/>
  <c r="B82" i="3" s="1"/>
  <c r="B83" i="3" a="1"/>
  <c r="B83" i="3" s="1"/>
  <c r="B84" i="3" a="1"/>
  <c r="B84" i="3" s="1"/>
  <c r="B85" i="3" a="1"/>
  <c r="B85" i="3" s="1"/>
  <c r="B86" i="3" a="1"/>
  <c r="B86" i="3" s="1"/>
  <c r="B87" i="3" a="1"/>
  <c r="B87" i="3" s="1"/>
  <c r="B88" i="3" a="1"/>
  <c r="B88" i="3" s="1"/>
  <c r="B89" i="3" a="1"/>
  <c r="B89" i="3" s="1"/>
  <c r="B90" i="3" a="1"/>
  <c r="B90" i="3" s="1"/>
  <c r="B91" i="3" a="1"/>
  <c r="B91" i="3" s="1"/>
  <c r="B92" i="3" a="1"/>
  <c r="B92" i="3" s="1"/>
  <c r="B93" i="3" a="1"/>
  <c r="B93" i="3" s="1"/>
  <c r="B94" i="3" a="1"/>
  <c r="B94" i="3" s="1"/>
  <c r="B95" i="3" a="1"/>
  <c r="B95" i="3" s="1"/>
  <c r="B96" i="3" a="1"/>
  <c r="B96" i="3" s="1"/>
  <c r="B97" i="3" a="1"/>
  <c r="B97" i="3" s="1"/>
  <c r="B98" i="3" a="1"/>
  <c r="B98" i="3" s="1"/>
  <c r="B99" i="3" a="1"/>
  <c r="B99" i="3" s="1"/>
  <c r="B100" i="3" a="1"/>
  <c r="B100" i="3" s="1"/>
  <c r="B101" i="3" a="1"/>
  <c r="B101" i="3" s="1"/>
  <c r="B102" i="3" a="1"/>
  <c r="B102" i="3" s="1"/>
  <c r="B103" i="3" a="1"/>
  <c r="B103" i="3" s="1"/>
  <c r="B104" i="3" a="1"/>
  <c r="B104" i="3" s="1"/>
  <c r="B105" i="3" a="1"/>
  <c r="B105" i="3" s="1"/>
  <c r="B106" i="3" a="1"/>
  <c r="B106" i="3" s="1"/>
  <c r="B107" i="3" a="1"/>
  <c r="B107" i="3" s="1"/>
  <c r="B108" i="3" a="1"/>
  <c r="B108" i="3" s="1"/>
  <c r="B109" i="3" a="1"/>
  <c r="B109" i="3" s="1"/>
  <c r="B110" i="3" a="1"/>
  <c r="B110" i="3" s="1"/>
  <c r="B111" i="3" a="1"/>
  <c r="B111" i="3" s="1"/>
  <c r="B112" i="3" a="1"/>
  <c r="B112" i="3" s="1"/>
  <c r="B113" i="3" a="1"/>
  <c r="B113" i="3" s="1"/>
  <c r="B114" i="3" a="1"/>
  <c r="B114" i="3" s="1"/>
  <c r="B115" i="3" a="1"/>
  <c r="B115" i="3" s="1"/>
  <c r="B116" i="3" a="1"/>
  <c r="B116" i="3" s="1"/>
  <c r="B117" i="3" a="1"/>
  <c r="B117" i="3" s="1"/>
  <c r="B118" i="3" a="1"/>
  <c r="B118" i="3" s="1"/>
  <c r="B119" i="3" a="1"/>
  <c r="B119" i="3" s="1"/>
  <c r="B120" i="3" a="1"/>
  <c r="B120" i="3" s="1"/>
  <c r="B121" i="3" a="1"/>
  <c r="B121" i="3" s="1"/>
  <c r="B122" i="3" a="1"/>
  <c r="B122" i="3" s="1"/>
  <c r="B123" i="3" a="1"/>
  <c r="B123" i="3" s="1"/>
  <c r="B124" i="3" a="1"/>
  <c r="B124" i="3" s="1"/>
  <c r="B125" i="3" a="1"/>
  <c r="B125" i="3" s="1"/>
  <c r="B126" i="3" a="1"/>
  <c r="B126" i="3" s="1"/>
  <c r="B127" i="3" a="1"/>
  <c r="B127" i="3" s="1"/>
  <c r="B128" i="3" a="1"/>
  <c r="B128" i="3" s="1"/>
  <c r="B129" i="3" a="1"/>
  <c r="B129" i="3" s="1"/>
  <c r="B130" i="3" a="1"/>
  <c r="B130" i="3" s="1"/>
  <c r="B131" i="3" a="1"/>
  <c r="B131" i="3" s="1"/>
  <c r="B132" i="3" a="1"/>
  <c r="B132" i="3" s="1"/>
  <c r="B133" i="3" a="1"/>
  <c r="B133" i="3" s="1"/>
  <c r="B134" i="3" a="1"/>
  <c r="B134" i="3" s="1"/>
  <c r="B135" i="3" a="1"/>
  <c r="B135" i="3" s="1"/>
  <c r="B136" i="3" a="1"/>
  <c r="B136" i="3" s="1"/>
  <c r="B137" i="3" a="1"/>
  <c r="B137" i="3" s="1"/>
  <c r="B138" i="3" a="1"/>
  <c r="B138" i="3" s="1"/>
  <c r="B139" i="3" a="1"/>
  <c r="B139" i="3" s="1"/>
  <c r="B140" i="3" a="1"/>
  <c r="B140" i="3" s="1"/>
  <c r="B141" i="3" a="1"/>
  <c r="B141" i="3" s="1"/>
  <c r="B142" i="3" a="1"/>
  <c r="B142" i="3" s="1"/>
  <c r="B143" i="3" a="1"/>
  <c r="B143" i="3" s="1"/>
  <c r="B144" i="3" a="1"/>
  <c r="B144" i="3" s="1"/>
  <c r="B145" i="3" a="1"/>
  <c r="B145" i="3" s="1"/>
  <c r="B146" i="3" a="1"/>
  <c r="B146" i="3" s="1"/>
  <c r="B147" i="3" a="1"/>
  <c r="B147" i="3" s="1"/>
  <c r="B148" i="3" a="1"/>
  <c r="B148" i="3" s="1"/>
  <c r="B149" i="3" a="1"/>
  <c r="B149" i="3" s="1"/>
  <c r="B150" i="3" a="1"/>
  <c r="B150" i="3" s="1"/>
  <c r="B151" i="3" a="1"/>
  <c r="B151" i="3" s="1"/>
  <c r="B152" i="3" a="1"/>
  <c r="B152" i="3" s="1"/>
  <c r="B153" i="3" a="1"/>
  <c r="B153" i="3" s="1"/>
  <c r="B154" i="3" a="1"/>
  <c r="B154" i="3" s="1"/>
  <c r="B155" i="3" a="1"/>
  <c r="B155" i="3" s="1"/>
  <c r="B156" i="3" a="1"/>
  <c r="B156" i="3" s="1"/>
  <c r="B157" i="3" a="1"/>
  <c r="B157" i="3" s="1"/>
  <c r="B158" i="3" a="1"/>
  <c r="B158" i="3" s="1"/>
  <c r="B159" i="3" a="1"/>
  <c r="B159" i="3" s="1"/>
  <c r="B160" i="3" a="1"/>
  <c r="B160" i="3" s="1"/>
  <c r="B161" i="3" a="1"/>
  <c r="B161" i="3" s="1"/>
  <c r="B162" i="3" a="1"/>
  <c r="B162" i="3" s="1"/>
  <c r="B163" i="3" a="1"/>
  <c r="B163" i="3" s="1"/>
  <c r="B164" i="3" a="1"/>
  <c r="B164" i="3" s="1"/>
  <c r="B165" i="3" a="1"/>
  <c r="B165" i="3" s="1"/>
  <c r="B166" i="3" a="1"/>
  <c r="B166" i="3" s="1"/>
  <c r="B167" i="3" a="1"/>
  <c r="B167" i="3" s="1"/>
  <c r="B168" i="3" a="1"/>
  <c r="B168" i="3" s="1"/>
  <c r="B169" i="3" a="1"/>
  <c r="B169" i="3" s="1"/>
  <c r="B170" i="3" a="1"/>
  <c r="B170" i="3" s="1"/>
  <c r="B171" i="3" a="1"/>
  <c r="B171" i="3" s="1"/>
  <c r="B172" i="3" a="1"/>
  <c r="B172" i="3" s="1"/>
  <c r="B173" i="3" a="1"/>
  <c r="B173" i="3" s="1"/>
  <c r="B174" i="3" a="1"/>
  <c r="B174" i="3" s="1"/>
  <c r="B175" i="3" a="1"/>
  <c r="B175" i="3" s="1"/>
  <c r="B176" i="3" a="1"/>
  <c r="B176" i="3" s="1"/>
  <c r="B177" i="3" a="1"/>
  <c r="B177" i="3" s="1"/>
  <c r="B178" i="3" a="1"/>
  <c r="B178" i="3" s="1"/>
  <c r="B179" i="3" a="1"/>
  <c r="B179" i="3" s="1"/>
  <c r="B180" i="3" a="1"/>
  <c r="B180" i="3" s="1"/>
  <c r="B181" i="3" a="1"/>
  <c r="B181" i="3" s="1"/>
  <c r="B182" i="3" a="1"/>
  <c r="B182" i="3" s="1"/>
  <c r="B183" i="3" a="1"/>
  <c r="B183" i="3" s="1"/>
  <c r="B184" i="3" a="1"/>
  <c r="B184" i="3" s="1"/>
  <c r="B185" i="3" a="1"/>
  <c r="B185" i="3" s="1"/>
  <c r="B186" i="3" a="1"/>
  <c r="B186" i="3" s="1"/>
  <c r="B187" i="3" a="1"/>
  <c r="B187" i="3" s="1"/>
  <c r="B188" i="3" a="1"/>
  <c r="B188" i="3" s="1"/>
  <c r="B189" i="3" a="1"/>
  <c r="B189" i="3" s="1"/>
  <c r="B190" i="3" a="1"/>
  <c r="B190" i="3" s="1"/>
  <c r="B191" i="3" a="1"/>
  <c r="B191" i="3" s="1"/>
  <c r="B192" i="3" a="1"/>
  <c r="B192" i="3" s="1"/>
  <c r="B193" i="3" a="1"/>
  <c r="B193" i="3" s="1"/>
  <c r="B194" i="3" a="1"/>
  <c r="B194" i="3" s="1"/>
  <c r="B195" i="3" a="1"/>
  <c r="B195" i="3" s="1"/>
  <c r="B196" i="3" a="1"/>
  <c r="B196" i="3" s="1"/>
  <c r="B197" i="3" a="1"/>
  <c r="B197" i="3" s="1"/>
  <c r="B198" i="3" a="1"/>
  <c r="B198" i="3" s="1"/>
  <c r="B199" i="3" a="1"/>
  <c r="B199" i="3" s="1"/>
  <c r="B200" i="3" a="1"/>
  <c r="B200" i="3" s="1"/>
  <c r="B201" i="3" a="1"/>
  <c r="B201" i="3" s="1"/>
  <c r="B3" i="3" a="1"/>
  <c r="B3" i="3" s="1"/>
  <c r="B4" i="3" a="1"/>
  <c r="B4" i="3" s="1"/>
  <c r="B5" i="3" a="1"/>
  <c r="B5" i="3" s="1"/>
  <c r="B6" i="3" a="1"/>
  <c r="B6" i="3"/>
  <c r="B7" i="3" a="1"/>
  <c r="B7" i="3" s="1"/>
  <c r="B8" i="3" a="1"/>
  <c r="B8" i="3"/>
  <c r="B9" i="3" a="1"/>
  <c r="B9" i="3" s="1"/>
  <c r="B10" i="3" a="1"/>
  <c r="B10" i="3" s="1"/>
  <c r="B11" i="3" a="1"/>
  <c r="B11" i="3" s="1"/>
  <c r="B12" i="3" a="1"/>
  <c r="B12" i="3"/>
  <c r="B13" i="3" a="1"/>
  <c r="B13" i="3"/>
  <c r="B14" i="3" a="1"/>
  <c r="B14" i="3"/>
  <c r="B15" i="3" a="1"/>
  <c r="B15" i="3" s="1"/>
  <c r="B16" i="3" a="1"/>
  <c r="B16" i="3" s="1"/>
  <c r="B17" i="3" a="1"/>
  <c r="B17" i="3" s="1"/>
  <c r="B18" i="3" a="1"/>
  <c r="B18" i="3" s="1"/>
  <c r="B19" i="3" a="1"/>
  <c r="B19" i="3"/>
  <c r="B20" i="3" a="1"/>
  <c r="B20" i="3"/>
  <c r="B21" i="3" a="1"/>
  <c r="B21" i="3" s="1"/>
  <c r="B22" i="3" a="1"/>
  <c r="B22" i="3" s="1"/>
  <c r="B23" i="3" a="1"/>
  <c r="B23" i="3" s="1"/>
  <c r="B24" i="3" a="1"/>
  <c r="B24" i="3" s="1"/>
  <c r="B2" i="3" a="1"/>
  <c r="B2" i="3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<sst xmlns="http://schemas.openxmlformats.org/spreadsheetml/2006/main" count="824" uniqueCount="206">
  <si>
    <t>EmpID</t>
  </si>
  <si>
    <t>Name</t>
  </si>
  <si>
    <t>Department</t>
  </si>
  <si>
    <t>Salary</t>
  </si>
  <si>
    <t>JoinDate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</si>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</sst>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64" fontId="0" fillId="0" borderId="3" xfId="0" applyNumberFormat="1" applyBorder="1"/>
    <xf numFmtId="164" fontId="0" fillId="0" borderId="9" xfId="0" applyNumberFormat="1" applyBorder="1"/>
    <xf numFmtId="0" fontId="0" fillId="0" borderId="5" xfId="0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3" borderId="13" xfId="0" applyFont="1" applyFill="1" applyBorder="1"/>
    <xf numFmtId="0" fontId="0" fillId="3" borderId="9" xfId="0" applyFont="1" applyFill="1" applyBorder="1"/>
    <xf numFmtId="164" fontId="0" fillId="3" borderId="9" xfId="0" applyNumberFormat="1" applyFont="1" applyFill="1" applyBorder="1"/>
    <xf numFmtId="0" fontId="0" fillId="3" borderId="14" xfId="0" applyFont="1" applyFill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/>
  </cellXfs>
  <cellStyles count="1">
    <cellStyle name="Normal" xfId="0" builtinId="0"/>
  </cellStyles>
  <dxfs count="30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cel%20Practice\For%20Golu\IndexMatchDemo.xlsx" TargetMode="External"/><Relationship Id="rId1" Type="http://schemas.openxmlformats.org/officeDocument/2006/relationships/externalLinkPath" Target="IndexMatch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 (3)"/>
      <sheetName val="Sheet1 (2)"/>
      <sheetName val="Sheet1"/>
      <sheetName val="Sheet2"/>
      <sheetName val="Sheet5"/>
      <sheetName val="Sheet5 (2)"/>
      <sheetName val="Sheet6"/>
    </sheetNames>
    <sheetDataSet>
      <sheetData sheetId="0"/>
      <sheetData sheetId="1"/>
      <sheetData sheetId="2">
        <row r="1">
          <cell r="A1" t="str">
            <v>EmpID</v>
          </cell>
          <cell r="B1" t="str">
            <v>Name</v>
          </cell>
          <cell r="C1" t="str">
            <v>Department</v>
          </cell>
          <cell r="D1" t="str">
            <v>Salary</v>
          </cell>
          <cell r="E1" t="str">
            <v>JoinDate</v>
          </cell>
        </row>
        <row r="2">
          <cell r="A2" t="str">
            <v>E001</v>
          </cell>
          <cell r="B2" t="str">
            <v>Aarav Sharma</v>
          </cell>
          <cell r="C2" t="str">
            <v>Sales</v>
          </cell>
          <cell r="D2">
            <v>52000</v>
          </cell>
          <cell r="E2">
            <v>43536</v>
          </cell>
        </row>
        <row r="3">
          <cell r="A3" t="str">
            <v>E002</v>
          </cell>
          <cell r="B3" t="str">
            <v>Ananya Verma</v>
          </cell>
          <cell r="C3" t="str">
            <v>HR</v>
          </cell>
          <cell r="D3">
            <v>48000</v>
          </cell>
          <cell r="E3">
            <v>44013</v>
          </cell>
        </row>
        <row r="4">
          <cell r="A4" t="str">
            <v>E003</v>
          </cell>
          <cell r="B4" t="str">
            <v>Arjun Patel</v>
          </cell>
          <cell r="C4" t="str">
            <v>IT</v>
          </cell>
          <cell r="D4">
            <v>75000</v>
          </cell>
          <cell r="E4">
            <v>43424</v>
          </cell>
        </row>
        <row r="5">
          <cell r="A5" t="str">
            <v>E004</v>
          </cell>
          <cell r="B5" t="str">
            <v>Divya Kapoor</v>
          </cell>
          <cell r="C5" t="str">
            <v>Finance</v>
          </cell>
          <cell r="D5">
            <v>61000</v>
          </cell>
          <cell r="E5">
            <v>44211</v>
          </cell>
        </row>
        <row r="6">
          <cell r="A6" t="str">
            <v>E005</v>
          </cell>
          <cell r="B6" t="str">
            <v>Rohan Mehta</v>
          </cell>
          <cell r="C6" t="str">
            <v>Marketing</v>
          </cell>
          <cell r="D6">
            <v>69000</v>
          </cell>
          <cell r="E6">
            <v>42916</v>
          </cell>
        </row>
        <row r="7">
          <cell r="A7" t="str">
            <v>E006</v>
          </cell>
          <cell r="B7" t="str">
            <v>Neha Singh</v>
          </cell>
          <cell r="C7" t="str">
            <v>Operations</v>
          </cell>
          <cell r="D7">
            <v>72000</v>
          </cell>
          <cell r="E7">
            <v>44809</v>
          </cell>
        </row>
        <row r="8">
          <cell r="A8" t="str">
            <v>E007</v>
          </cell>
          <cell r="B8" t="str">
            <v>Vikram Rao</v>
          </cell>
          <cell r="C8" t="str">
            <v>Legal</v>
          </cell>
          <cell r="D8">
            <v>50000</v>
          </cell>
          <cell r="E8">
            <v>43809</v>
          </cell>
        </row>
        <row r="9">
          <cell r="A9" t="str">
            <v>E008</v>
          </cell>
          <cell r="B9" t="str">
            <v>Simran Kaur</v>
          </cell>
          <cell r="C9" t="str">
            <v>R&amp;D</v>
          </cell>
          <cell r="D9">
            <v>66000</v>
          </cell>
          <cell r="E9">
            <v>43886</v>
          </cell>
        </row>
        <row r="10">
          <cell r="A10" t="str">
            <v>E009</v>
          </cell>
          <cell r="B10" t="str">
            <v>Sameer Kulkarni</v>
          </cell>
          <cell r="C10" t="str">
            <v>Support</v>
          </cell>
          <cell r="D10">
            <v>58000</v>
          </cell>
          <cell r="E10">
            <v>42600</v>
          </cell>
        </row>
        <row r="11">
          <cell r="A11" t="str">
            <v>E010</v>
          </cell>
          <cell r="B11" t="str">
            <v>Priya Nair</v>
          </cell>
          <cell r="C11" t="str">
            <v>Admin</v>
          </cell>
          <cell r="D11">
            <v>45000</v>
          </cell>
          <cell r="E11">
            <v>42146</v>
          </cell>
        </row>
        <row r="12">
          <cell r="A12" t="str">
            <v>E011</v>
          </cell>
          <cell r="B12" t="str">
            <v>Kunal Joshi</v>
          </cell>
          <cell r="C12" t="str">
            <v>Sales</v>
          </cell>
          <cell r="D12">
            <v>80000</v>
          </cell>
          <cell r="E12">
            <v>43193</v>
          </cell>
        </row>
        <row r="13">
          <cell r="A13" t="str">
            <v>E012</v>
          </cell>
          <cell r="B13" t="str">
            <v>Sana Iqbal</v>
          </cell>
          <cell r="C13" t="str">
            <v>HR</v>
          </cell>
          <cell r="D13">
            <v>54000</v>
          </cell>
          <cell r="E13">
            <v>42992</v>
          </cell>
        </row>
        <row r="14">
          <cell r="A14" t="str">
            <v>E013</v>
          </cell>
          <cell r="B14" t="str">
            <v>Aditya Reddy</v>
          </cell>
          <cell r="C14" t="str">
            <v>IT</v>
          </cell>
          <cell r="D14">
            <v>47000</v>
          </cell>
          <cell r="E14">
            <v>44502</v>
          </cell>
        </row>
        <row r="15">
          <cell r="A15" t="str">
            <v>E014</v>
          </cell>
          <cell r="B15" t="str">
            <v>Meera Chawla</v>
          </cell>
          <cell r="C15" t="str">
            <v>Finance</v>
          </cell>
          <cell r="D15">
            <v>90000</v>
          </cell>
          <cell r="E15">
            <v>42396</v>
          </cell>
        </row>
        <row r="16">
          <cell r="A16" t="str">
            <v>E015</v>
          </cell>
          <cell r="B16" t="str">
            <v>Harsh Malhotra</v>
          </cell>
          <cell r="C16" t="str">
            <v>Marketing</v>
          </cell>
          <cell r="D16">
            <v>62000</v>
          </cell>
          <cell r="E16">
            <v>43635</v>
          </cell>
        </row>
        <row r="17">
          <cell r="A17" t="str">
            <v>E016</v>
          </cell>
          <cell r="B17" t="str">
            <v>Anika Desai</v>
          </cell>
          <cell r="C17" t="str">
            <v>Operations</v>
          </cell>
          <cell r="D17">
            <v>73000</v>
          </cell>
          <cell r="E17">
            <v>44112</v>
          </cell>
        </row>
        <row r="18">
          <cell r="A18" t="str">
            <v>E017</v>
          </cell>
          <cell r="B18" t="str">
            <v>Prateek Bhat</v>
          </cell>
          <cell r="C18" t="str">
            <v>Legal</v>
          </cell>
          <cell r="D18">
            <v>56000</v>
          </cell>
          <cell r="E18">
            <v>42343</v>
          </cell>
        </row>
        <row r="19">
          <cell r="A19" t="str">
            <v>E018</v>
          </cell>
          <cell r="B19" t="str">
            <v>Shreya Ghosh</v>
          </cell>
          <cell r="C19" t="str">
            <v>R&amp;D</v>
          </cell>
          <cell r="D19">
            <v>67000</v>
          </cell>
          <cell r="E19">
            <v>43152</v>
          </cell>
        </row>
        <row r="20">
          <cell r="A20" t="str">
            <v>E019</v>
          </cell>
          <cell r="B20" t="str">
            <v>Manish Sinha</v>
          </cell>
          <cell r="C20" t="str">
            <v>Support</v>
          </cell>
          <cell r="D20">
            <v>71000</v>
          </cell>
          <cell r="E20">
            <v>44650</v>
          </cell>
        </row>
        <row r="21">
          <cell r="A21" t="str">
            <v>E020</v>
          </cell>
          <cell r="B21" t="str">
            <v>Alisha Menon</v>
          </cell>
          <cell r="C21" t="str">
            <v>Admin</v>
          </cell>
          <cell r="D21">
            <v>64000</v>
          </cell>
          <cell r="E21">
            <v>42927</v>
          </cell>
        </row>
        <row r="22">
          <cell r="A22" t="str">
            <v>E021</v>
          </cell>
          <cell r="B22" t="str">
            <v>Varun Gupta</v>
          </cell>
          <cell r="C22" t="str">
            <v>Sales</v>
          </cell>
          <cell r="D22">
            <v>52000</v>
          </cell>
          <cell r="E22">
            <v>43474</v>
          </cell>
        </row>
        <row r="23">
          <cell r="A23" t="str">
            <v>E022</v>
          </cell>
          <cell r="B23" t="str">
            <v>Ritika Sharma</v>
          </cell>
          <cell r="C23" t="str">
            <v>HR</v>
          </cell>
          <cell r="D23">
            <v>48000</v>
          </cell>
          <cell r="E23">
            <v>43967</v>
          </cell>
        </row>
        <row r="24">
          <cell r="A24" t="str">
            <v>E023</v>
          </cell>
          <cell r="B24" t="str">
            <v>Ankit Agarwal</v>
          </cell>
          <cell r="C24" t="str">
            <v>IT</v>
          </cell>
          <cell r="D24">
            <v>75000</v>
          </cell>
          <cell r="E24">
            <v>43377</v>
          </cell>
        </row>
        <row r="25">
          <cell r="A25" t="str">
            <v>E024</v>
          </cell>
          <cell r="B25" t="str">
            <v>Deepa Nambiar</v>
          </cell>
          <cell r="C25" t="str">
            <v>Finance</v>
          </cell>
          <cell r="D25">
            <v>61000</v>
          </cell>
          <cell r="E25">
            <v>44247</v>
          </cell>
        </row>
        <row r="26">
          <cell r="A26" t="str">
            <v>E025</v>
          </cell>
          <cell r="B26" t="str">
            <v>Siddharth Jain</v>
          </cell>
          <cell r="C26" t="str">
            <v>Marketing</v>
          </cell>
          <cell r="D26">
            <v>69000</v>
          </cell>
          <cell r="E26">
            <v>42976</v>
          </cell>
        </row>
        <row r="27">
          <cell r="A27" t="str">
            <v>E026</v>
          </cell>
          <cell r="B27" t="str">
            <v>Karishma Bhatt</v>
          </cell>
          <cell r="C27" t="str">
            <v>Operations</v>
          </cell>
          <cell r="D27">
            <v>72000</v>
          </cell>
          <cell r="E27">
            <v>44725</v>
          </cell>
        </row>
        <row r="28">
          <cell r="A28" t="str">
            <v>E027</v>
          </cell>
          <cell r="B28" t="str">
            <v>Nikhil Kapoor</v>
          </cell>
          <cell r="C28" t="str">
            <v>Legal</v>
          </cell>
          <cell r="D28">
            <v>50000</v>
          </cell>
          <cell r="E28">
            <v>43776</v>
          </cell>
        </row>
        <row r="29">
          <cell r="A29" t="str">
            <v>E028</v>
          </cell>
          <cell r="B29" t="str">
            <v>Rekha Pillai</v>
          </cell>
          <cell r="C29" t="str">
            <v>R&amp;D</v>
          </cell>
          <cell r="D29">
            <v>66000</v>
          </cell>
          <cell r="E29">
            <v>43908</v>
          </cell>
        </row>
        <row r="30">
          <cell r="A30" t="str">
            <v>E029</v>
          </cell>
          <cell r="B30" t="str">
            <v>Pranav Dutta</v>
          </cell>
          <cell r="C30" t="str">
            <v>Support</v>
          </cell>
          <cell r="D30">
            <v>58000</v>
          </cell>
          <cell r="E30">
            <v>42638</v>
          </cell>
        </row>
        <row r="31">
          <cell r="A31" t="str">
            <v>E030</v>
          </cell>
          <cell r="B31" t="str">
            <v>Anushka Roy</v>
          </cell>
          <cell r="C31" t="str">
            <v>Admin</v>
          </cell>
          <cell r="D31">
            <v>45000</v>
          </cell>
          <cell r="E31">
            <v>42108</v>
          </cell>
        </row>
        <row r="32">
          <cell r="A32" t="str">
            <v>E031</v>
          </cell>
          <cell r="B32" t="str">
            <v>Rajiv Menon</v>
          </cell>
          <cell r="C32" t="str">
            <v>Sales</v>
          </cell>
          <cell r="D32">
            <v>80000</v>
          </cell>
          <cell r="E32">
            <v>43272</v>
          </cell>
        </row>
        <row r="33">
          <cell r="A33" t="str">
            <v>E032</v>
          </cell>
          <cell r="B33" t="str">
            <v>Shalini Verma</v>
          </cell>
          <cell r="C33" t="str">
            <v>HR</v>
          </cell>
          <cell r="D33">
            <v>54000</v>
          </cell>
          <cell r="E33">
            <v>43038</v>
          </cell>
        </row>
        <row r="34">
          <cell r="A34" t="str">
            <v>E033</v>
          </cell>
          <cell r="B34" t="str">
            <v>Mayank Sood</v>
          </cell>
          <cell r="C34" t="str">
            <v>IT</v>
          </cell>
          <cell r="D34">
            <v>47000</v>
          </cell>
          <cell r="E34">
            <v>44542</v>
          </cell>
        </row>
        <row r="35">
          <cell r="A35" t="str">
            <v>E034</v>
          </cell>
          <cell r="B35" t="str">
            <v>Anu Thomas</v>
          </cell>
          <cell r="C35" t="str">
            <v>Finance</v>
          </cell>
          <cell r="D35">
            <v>90000</v>
          </cell>
          <cell r="E35">
            <v>42408</v>
          </cell>
        </row>
        <row r="36">
          <cell r="A36" t="str">
            <v>E035</v>
          </cell>
          <cell r="B36" t="str">
            <v>Arnav Bhattacharya</v>
          </cell>
          <cell r="C36" t="str">
            <v>Marketing</v>
          </cell>
          <cell r="D36">
            <v>62000</v>
          </cell>
          <cell r="E36">
            <v>43588</v>
          </cell>
        </row>
        <row r="37">
          <cell r="A37" t="str">
            <v>E036</v>
          </cell>
          <cell r="B37" t="str">
            <v>Neelam Chatterjee</v>
          </cell>
          <cell r="C37" t="str">
            <v>Operations</v>
          </cell>
          <cell r="D37">
            <v>73000</v>
          </cell>
          <cell r="E37">
            <v>44070</v>
          </cell>
        </row>
        <row r="38">
          <cell r="A38" t="str">
            <v>E037</v>
          </cell>
          <cell r="B38" t="str">
            <v>Sameer Iyer</v>
          </cell>
          <cell r="C38" t="str">
            <v>Legal</v>
          </cell>
          <cell r="D38">
            <v>56000</v>
          </cell>
          <cell r="E38">
            <v>42324</v>
          </cell>
        </row>
        <row r="39">
          <cell r="A39" t="str">
            <v>E038</v>
          </cell>
          <cell r="B39" t="str">
            <v>Divya Rao</v>
          </cell>
          <cell r="C39" t="str">
            <v>R&amp;D</v>
          </cell>
          <cell r="D39">
            <v>67000</v>
          </cell>
          <cell r="E39">
            <v>43105</v>
          </cell>
        </row>
        <row r="40">
          <cell r="A40" t="str">
            <v>E039</v>
          </cell>
          <cell r="B40" t="str">
            <v>Akash Nair</v>
          </cell>
          <cell r="C40" t="str">
            <v>Support</v>
          </cell>
          <cell r="D40">
            <v>71000</v>
          </cell>
          <cell r="E40">
            <v>44673</v>
          </cell>
        </row>
        <row r="41">
          <cell r="A41" t="str">
            <v>E040</v>
          </cell>
          <cell r="B41" t="str">
            <v>Smita Kulkarni</v>
          </cell>
          <cell r="C41" t="str">
            <v>Admin</v>
          </cell>
          <cell r="D41">
            <v>64000</v>
          </cell>
          <cell r="E41">
            <v>42803</v>
          </cell>
        </row>
        <row r="42">
          <cell r="A42" t="str">
            <v>E041</v>
          </cell>
          <cell r="B42" t="str">
            <v>Anirudh Shah</v>
          </cell>
          <cell r="C42" t="str">
            <v>Sales</v>
          </cell>
          <cell r="D42">
            <v>52000</v>
          </cell>
          <cell r="E42">
            <v>43674</v>
          </cell>
        </row>
        <row r="43">
          <cell r="A43" t="str">
            <v>E042</v>
          </cell>
          <cell r="B43" t="str">
            <v>Parul Mehra</v>
          </cell>
          <cell r="C43" t="str">
            <v>HR</v>
          </cell>
          <cell r="D43">
            <v>48000</v>
          </cell>
          <cell r="E43">
            <v>44141</v>
          </cell>
        </row>
        <row r="44">
          <cell r="A44" t="str">
            <v>E043</v>
          </cell>
          <cell r="B44" t="str">
            <v>Devansh Jain</v>
          </cell>
          <cell r="C44" t="str">
            <v>IT</v>
          </cell>
          <cell r="D44">
            <v>75000</v>
          </cell>
          <cell r="E44">
            <v>43237</v>
          </cell>
        </row>
        <row r="45">
          <cell r="A45" t="str">
            <v>E044</v>
          </cell>
          <cell r="B45" t="str">
            <v>Neeta Saini</v>
          </cell>
          <cell r="C45" t="str">
            <v>Finance</v>
          </cell>
          <cell r="D45">
            <v>61000</v>
          </cell>
          <cell r="E45">
            <v>44440</v>
          </cell>
        </row>
        <row r="46">
          <cell r="A46" t="str">
            <v>E045</v>
          </cell>
          <cell r="B46" t="str">
            <v>Arpita Goyal</v>
          </cell>
          <cell r="C46" t="str">
            <v>Marketing</v>
          </cell>
          <cell r="D46">
            <v>69000</v>
          </cell>
          <cell r="E46">
            <v>42779</v>
          </cell>
        </row>
        <row r="47">
          <cell r="A47" t="str">
            <v>E046</v>
          </cell>
          <cell r="B47" t="str">
            <v>Rajesh Nambiar</v>
          </cell>
          <cell r="C47" t="str">
            <v>Operations</v>
          </cell>
          <cell r="D47">
            <v>72000</v>
          </cell>
          <cell r="E47">
            <v>44914</v>
          </cell>
        </row>
        <row r="48">
          <cell r="A48" t="str">
            <v>E047</v>
          </cell>
          <cell r="B48" t="str">
            <v>Sunita Rao</v>
          </cell>
          <cell r="C48" t="str">
            <v>Legal</v>
          </cell>
          <cell r="D48">
            <v>50000</v>
          </cell>
          <cell r="E48">
            <v>43701</v>
          </cell>
        </row>
        <row r="49">
          <cell r="A49" t="str">
            <v>E048</v>
          </cell>
          <cell r="B49" t="str">
            <v>Anmol Verma</v>
          </cell>
          <cell r="C49" t="str">
            <v>R&amp;D</v>
          </cell>
          <cell r="D49">
            <v>66000</v>
          </cell>
          <cell r="E49">
            <v>43837</v>
          </cell>
        </row>
        <row r="50">
          <cell r="A50" t="str">
            <v>E049</v>
          </cell>
          <cell r="B50" t="str">
            <v>Harpreet Singh</v>
          </cell>
          <cell r="C50" t="str">
            <v>Support</v>
          </cell>
          <cell r="D50">
            <v>58000</v>
          </cell>
          <cell r="E50">
            <v>42523</v>
          </cell>
        </row>
        <row r="51">
          <cell r="A51" t="str">
            <v>E050</v>
          </cell>
          <cell r="B51" t="str">
            <v>Leena D'Souza</v>
          </cell>
          <cell r="C51" t="str">
            <v>Admin</v>
          </cell>
          <cell r="D51">
            <v>45000</v>
          </cell>
          <cell r="E51">
            <v>42308</v>
          </cell>
        </row>
        <row r="52">
          <cell r="A52" t="str">
            <v>E051</v>
          </cell>
          <cell r="B52" t="str">
            <v>Prakash Kulkarni</v>
          </cell>
          <cell r="C52" t="str">
            <v>Sales</v>
          </cell>
          <cell r="D52">
            <v>80000</v>
          </cell>
          <cell r="E52">
            <v>43354</v>
          </cell>
        </row>
        <row r="53">
          <cell r="A53" t="str">
            <v>E052</v>
          </cell>
          <cell r="B53" t="str">
            <v>Shweta Bansal</v>
          </cell>
          <cell r="C53" t="str">
            <v>HR</v>
          </cell>
          <cell r="D53">
            <v>54000</v>
          </cell>
          <cell r="E53">
            <v>42757</v>
          </cell>
        </row>
        <row r="54">
          <cell r="A54" t="str">
            <v>E053</v>
          </cell>
          <cell r="B54" t="str">
            <v>Arjun Nair</v>
          </cell>
          <cell r="C54" t="str">
            <v>IT</v>
          </cell>
          <cell r="D54">
            <v>47000</v>
          </cell>
          <cell r="E54">
            <v>44269</v>
          </cell>
        </row>
        <row r="55">
          <cell r="A55" t="str">
            <v>E054</v>
          </cell>
          <cell r="B55" t="str">
            <v>Monica Rao</v>
          </cell>
          <cell r="C55" t="str">
            <v>Finance</v>
          </cell>
          <cell r="D55">
            <v>90000</v>
          </cell>
          <cell r="E55">
            <v>42556</v>
          </cell>
        </row>
        <row r="56">
          <cell r="A56" t="str">
            <v>E055</v>
          </cell>
          <cell r="B56" t="str">
            <v>Vivek Sharma</v>
          </cell>
          <cell r="C56" t="str">
            <v>Marketing</v>
          </cell>
          <cell r="D56">
            <v>62000</v>
          </cell>
          <cell r="E56">
            <v>43764</v>
          </cell>
        </row>
        <row r="57">
          <cell r="A57" t="str">
            <v>E056</v>
          </cell>
          <cell r="B57" t="str">
            <v>Rachna Kapoor</v>
          </cell>
          <cell r="C57" t="str">
            <v>Operations</v>
          </cell>
          <cell r="D57">
            <v>73000</v>
          </cell>
          <cell r="E57">
            <v>43863</v>
          </cell>
        </row>
        <row r="58">
          <cell r="A58" t="str">
            <v>E057</v>
          </cell>
          <cell r="B58" t="str">
            <v>Anil Deshmukh</v>
          </cell>
          <cell r="C58" t="str">
            <v>Legal</v>
          </cell>
          <cell r="D58">
            <v>56000</v>
          </cell>
          <cell r="E58">
            <v>42173</v>
          </cell>
        </row>
        <row r="59">
          <cell r="A59" t="str">
            <v>E058</v>
          </cell>
          <cell r="B59" t="str">
            <v>Trisha Banerjee</v>
          </cell>
          <cell r="C59" t="str">
            <v>R&amp;D</v>
          </cell>
          <cell r="D59">
            <v>67000</v>
          </cell>
          <cell r="E59">
            <v>43443</v>
          </cell>
        </row>
        <row r="60">
          <cell r="A60" t="str">
            <v>E059</v>
          </cell>
          <cell r="B60" t="str">
            <v>Rajeev Menon</v>
          </cell>
          <cell r="C60" t="str">
            <v>Support</v>
          </cell>
          <cell r="D60">
            <v>71000</v>
          </cell>
          <cell r="E60">
            <v>44581</v>
          </cell>
        </row>
        <row r="61">
          <cell r="A61" t="str">
            <v>E060</v>
          </cell>
          <cell r="B61" t="str">
            <v>Megha Sinha</v>
          </cell>
          <cell r="C61" t="str">
            <v>Admin</v>
          </cell>
          <cell r="D61">
            <v>64000</v>
          </cell>
          <cell r="E61">
            <v>43068</v>
          </cell>
        </row>
        <row r="62">
          <cell r="A62" t="str">
            <v>E061</v>
          </cell>
          <cell r="B62" t="str">
            <v>Sameer Patel</v>
          </cell>
          <cell r="C62" t="str">
            <v>Sales</v>
          </cell>
          <cell r="D62">
            <v>52000</v>
          </cell>
          <cell r="E62">
            <v>43502</v>
          </cell>
        </row>
        <row r="63">
          <cell r="A63" t="str">
            <v>E062</v>
          </cell>
          <cell r="B63" t="str">
            <v>Anjali Rao</v>
          </cell>
          <cell r="C63" t="str">
            <v>HR</v>
          </cell>
          <cell r="D63">
            <v>48000</v>
          </cell>
          <cell r="E63">
            <v>43997</v>
          </cell>
        </row>
        <row r="64">
          <cell r="A64" t="str">
            <v>E063</v>
          </cell>
          <cell r="B64" t="str">
            <v>Krishna Iyer</v>
          </cell>
          <cell r="C64" t="str">
            <v>IT</v>
          </cell>
          <cell r="D64">
            <v>75000</v>
          </cell>
          <cell r="E64">
            <v>43335</v>
          </cell>
        </row>
        <row r="65">
          <cell r="A65" t="str">
            <v>E064</v>
          </cell>
          <cell r="B65" t="str">
            <v>Shivani Gupta</v>
          </cell>
          <cell r="C65" t="str">
            <v>Finance</v>
          </cell>
          <cell r="D65">
            <v>61000</v>
          </cell>
          <cell r="E65">
            <v>44296</v>
          </cell>
        </row>
        <row r="66">
          <cell r="A66" t="str">
            <v>E065</v>
          </cell>
          <cell r="B66" t="str">
            <v>Aditya Malhotra</v>
          </cell>
          <cell r="C66" t="str">
            <v>Marketing</v>
          </cell>
          <cell r="D66">
            <v>69000</v>
          </cell>
          <cell r="E66">
            <v>43070</v>
          </cell>
        </row>
        <row r="67">
          <cell r="A67" t="str">
            <v>E066</v>
          </cell>
          <cell r="B67" t="str">
            <v>Pooja Sharma</v>
          </cell>
          <cell r="C67" t="str">
            <v>Operations</v>
          </cell>
          <cell r="D67">
            <v>72000</v>
          </cell>
          <cell r="E67">
            <v>44688</v>
          </cell>
        </row>
        <row r="68">
          <cell r="A68" t="str">
            <v>E067</v>
          </cell>
          <cell r="B68" t="str">
            <v>Raj Kumar</v>
          </cell>
          <cell r="C68" t="str">
            <v>Legal</v>
          </cell>
          <cell r="D68">
            <v>50000</v>
          </cell>
          <cell r="E68">
            <v>43751</v>
          </cell>
        </row>
        <row r="69">
          <cell r="A69" t="str">
            <v>E068</v>
          </cell>
          <cell r="B69" t="str">
            <v>Neelima Joshi</v>
          </cell>
          <cell r="C69" t="str">
            <v>R&amp;D</v>
          </cell>
          <cell r="D69">
            <v>66000</v>
          </cell>
          <cell r="E69">
            <v>44076</v>
          </cell>
        </row>
        <row r="70">
          <cell r="A70" t="str">
            <v>E069</v>
          </cell>
          <cell r="B70" t="str">
            <v>Anupam Roy</v>
          </cell>
          <cell r="C70" t="str">
            <v>Support</v>
          </cell>
          <cell r="D70">
            <v>58000</v>
          </cell>
          <cell r="E70">
            <v>42450</v>
          </cell>
        </row>
        <row r="71">
          <cell r="A71" t="str">
            <v>E070</v>
          </cell>
          <cell r="B71" t="str">
            <v>Sonia Bhat</v>
          </cell>
          <cell r="C71" t="str">
            <v>Admin</v>
          </cell>
          <cell r="D71">
            <v>45000</v>
          </cell>
          <cell r="E71">
            <v>42232</v>
          </cell>
        </row>
        <row r="72">
          <cell r="A72" t="str">
            <v>E071</v>
          </cell>
          <cell r="B72" t="str">
            <v>Arvind Chopra</v>
          </cell>
          <cell r="C72" t="str">
            <v>Sales</v>
          </cell>
          <cell r="D72">
            <v>80000</v>
          </cell>
          <cell r="E72">
            <v>43159</v>
          </cell>
        </row>
        <row r="73">
          <cell r="A73" t="str">
            <v>E072</v>
          </cell>
          <cell r="B73" t="str">
            <v>Meera Iyer</v>
          </cell>
          <cell r="C73" t="str">
            <v>HR</v>
          </cell>
          <cell r="D73">
            <v>54000</v>
          </cell>
          <cell r="E73">
            <v>42834</v>
          </cell>
        </row>
        <row r="74">
          <cell r="A74" t="str">
            <v>E073</v>
          </cell>
          <cell r="B74" t="str">
            <v>Pranav Shah</v>
          </cell>
          <cell r="C74" t="str">
            <v>IT</v>
          </cell>
          <cell r="D74">
            <v>47000</v>
          </cell>
          <cell r="E74">
            <v>44365</v>
          </cell>
        </row>
        <row r="75">
          <cell r="A75" t="str">
            <v>E074</v>
          </cell>
          <cell r="B75" t="str">
            <v>Shikha Sood</v>
          </cell>
          <cell r="C75" t="str">
            <v>Finance</v>
          </cell>
          <cell r="D75">
            <v>90000</v>
          </cell>
          <cell r="E75">
            <v>42670</v>
          </cell>
        </row>
        <row r="76">
          <cell r="A76" t="str">
            <v>E075</v>
          </cell>
          <cell r="B76" t="str">
            <v>Rajeev Gupta</v>
          </cell>
          <cell r="C76" t="str">
            <v>Marketing</v>
          </cell>
          <cell r="D76">
            <v>62000</v>
          </cell>
          <cell r="E76">
            <v>43777</v>
          </cell>
        </row>
        <row r="77">
          <cell r="A77" t="str">
            <v>E076</v>
          </cell>
          <cell r="B77" t="str">
            <v>Anita Menon</v>
          </cell>
          <cell r="C77" t="str">
            <v>Operations</v>
          </cell>
          <cell r="D77">
            <v>73000</v>
          </cell>
          <cell r="E77">
            <v>43860</v>
          </cell>
        </row>
        <row r="78">
          <cell r="A78" t="str">
            <v>E077</v>
          </cell>
          <cell r="B78" t="str">
            <v>Vinod Bhat</v>
          </cell>
          <cell r="C78" t="str">
            <v>Legal</v>
          </cell>
          <cell r="D78">
            <v>56000</v>
          </cell>
          <cell r="E78">
            <v>42066</v>
          </cell>
        </row>
        <row r="79">
          <cell r="A79" t="str">
            <v>E078</v>
          </cell>
          <cell r="B79" t="str">
            <v>Anushree Ghosh</v>
          </cell>
          <cell r="C79" t="str">
            <v>R&amp;D</v>
          </cell>
          <cell r="D79">
            <v>67000</v>
          </cell>
          <cell r="E79">
            <v>43293</v>
          </cell>
        </row>
        <row r="80">
          <cell r="A80" t="str">
            <v>E079</v>
          </cell>
          <cell r="B80" t="str">
            <v>Manu Kapoor</v>
          </cell>
          <cell r="C80" t="str">
            <v>Support</v>
          </cell>
          <cell r="D80">
            <v>71000</v>
          </cell>
          <cell r="E80">
            <v>44798</v>
          </cell>
        </row>
        <row r="81">
          <cell r="A81" t="str">
            <v>E080</v>
          </cell>
          <cell r="B81" t="str">
            <v>Reema Nair</v>
          </cell>
          <cell r="C81" t="str">
            <v>Admin</v>
          </cell>
          <cell r="D81">
            <v>64000</v>
          </cell>
          <cell r="E81">
            <v>42992</v>
          </cell>
        </row>
        <row r="82">
          <cell r="A82" t="str">
            <v>E081</v>
          </cell>
          <cell r="B82" t="str">
            <v>Arjun Verma</v>
          </cell>
          <cell r="C82" t="str">
            <v>Sales</v>
          </cell>
          <cell r="D82">
            <v>52000</v>
          </cell>
          <cell r="E82">
            <v>43590</v>
          </cell>
        </row>
        <row r="83">
          <cell r="A83" t="str">
            <v>E082</v>
          </cell>
          <cell r="B83" t="str">
            <v>Divya Singh</v>
          </cell>
          <cell r="C83" t="str">
            <v>HR</v>
          </cell>
          <cell r="D83">
            <v>48000</v>
          </cell>
          <cell r="E83">
            <v>43913</v>
          </cell>
        </row>
        <row r="84">
          <cell r="A84" t="str">
            <v>E083</v>
          </cell>
          <cell r="B84" t="str">
            <v>Rahul Desai</v>
          </cell>
          <cell r="C84" t="str">
            <v>IT</v>
          </cell>
          <cell r="D84">
            <v>75000</v>
          </cell>
          <cell r="E84">
            <v>43130</v>
          </cell>
        </row>
        <row r="85">
          <cell r="A85" t="str">
            <v>E084</v>
          </cell>
          <cell r="B85" t="str">
            <v>Shalini Rao</v>
          </cell>
          <cell r="C85" t="str">
            <v>Finance</v>
          </cell>
          <cell r="D85">
            <v>61000</v>
          </cell>
          <cell r="E85">
            <v>44396</v>
          </cell>
        </row>
        <row r="86">
          <cell r="A86" t="str">
            <v>E085</v>
          </cell>
          <cell r="B86" t="str">
            <v>Anupama Chatterjee</v>
          </cell>
          <cell r="C86" t="str">
            <v>Marketing</v>
          </cell>
          <cell r="D86">
            <v>69000</v>
          </cell>
          <cell r="E86">
            <v>42741</v>
          </cell>
        </row>
        <row r="87">
          <cell r="A87" t="str">
            <v>E086</v>
          </cell>
          <cell r="B87" t="str">
            <v>Sameer Malhotra</v>
          </cell>
          <cell r="C87" t="str">
            <v>Operations</v>
          </cell>
          <cell r="D87">
            <v>72000</v>
          </cell>
          <cell r="E87">
            <v>44845</v>
          </cell>
        </row>
        <row r="88">
          <cell r="A88" t="str">
            <v>E087</v>
          </cell>
          <cell r="B88" t="str">
            <v>Neeraj Kumar</v>
          </cell>
          <cell r="C88" t="str">
            <v>Legal</v>
          </cell>
          <cell r="D88">
            <v>50000</v>
          </cell>
          <cell r="E88">
            <v>43579</v>
          </cell>
        </row>
        <row r="89">
          <cell r="A89" t="str">
            <v>E088</v>
          </cell>
          <cell r="B89" t="str">
            <v>Prerna Bhatt</v>
          </cell>
          <cell r="C89" t="str">
            <v>R&amp;D</v>
          </cell>
          <cell r="D89">
            <v>66000</v>
          </cell>
          <cell r="E89">
            <v>44168</v>
          </cell>
        </row>
        <row r="90">
          <cell r="A90" t="str">
            <v>E089</v>
          </cell>
          <cell r="B90" t="str">
            <v>Arvind Saini</v>
          </cell>
          <cell r="C90" t="str">
            <v>Support</v>
          </cell>
          <cell r="D90">
            <v>58000</v>
          </cell>
          <cell r="E90">
            <v>42687</v>
          </cell>
        </row>
        <row r="91">
          <cell r="A91" t="str">
            <v>E090</v>
          </cell>
          <cell r="B91" t="str">
            <v>Geeta Pillai</v>
          </cell>
          <cell r="C91" t="str">
            <v>Admin</v>
          </cell>
          <cell r="D91">
            <v>45000</v>
          </cell>
          <cell r="E91">
            <v>42036</v>
          </cell>
        </row>
        <row r="92">
          <cell r="A92" t="str">
            <v>E091</v>
          </cell>
          <cell r="B92" t="str">
            <v>Akshay Mehta</v>
          </cell>
          <cell r="C92" t="str">
            <v>Sales</v>
          </cell>
          <cell r="D92">
            <v>80000</v>
          </cell>
          <cell r="E92">
            <v>43175</v>
          </cell>
        </row>
        <row r="93">
          <cell r="A93" t="str">
            <v>E092</v>
          </cell>
          <cell r="B93" t="str">
            <v>Anita Iqbal</v>
          </cell>
          <cell r="C93" t="str">
            <v>HR</v>
          </cell>
          <cell r="D93">
            <v>54000</v>
          </cell>
          <cell r="E93">
            <v>42952</v>
          </cell>
        </row>
        <row r="94">
          <cell r="A94" t="str">
            <v>E093</v>
          </cell>
          <cell r="B94" t="str">
            <v>Devika Nair</v>
          </cell>
          <cell r="C94" t="str">
            <v>IT</v>
          </cell>
          <cell r="D94">
            <v>47000</v>
          </cell>
          <cell r="E94">
            <v>44467</v>
          </cell>
        </row>
        <row r="95">
          <cell r="A95" t="str">
            <v>E094</v>
          </cell>
          <cell r="B95" t="str">
            <v>Rakesh Sharma</v>
          </cell>
          <cell r="C95" t="str">
            <v>Finance</v>
          </cell>
          <cell r="D95">
            <v>90000</v>
          </cell>
          <cell r="E95">
            <v>42502</v>
          </cell>
        </row>
        <row r="96">
          <cell r="A96" t="str">
            <v>E095</v>
          </cell>
          <cell r="B96" t="str">
            <v>Shreya Kapoor</v>
          </cell>
          <cell r="C96" t="str">
            <v>Marketing</v>
          </cell>
          <cell r="D96">
            <v>62000</v>
          </cell>
          <cell r="E96">
            <v>43820</v>
          </cell>
        </row>
        <row r="97">
          <cell r="A97" t="str">
            <v>E096</v>
          </cell>
          <cell r="B97" t="str">
            <v>Manish Verma</v>
          </cell>
          <cell r="C97" t="str">
            <v>Operations</v>
          </cell>
          <cell r="D97">
            <v>73000</v>
          </cell>
          <cell r="E97">
            <v>43927</v>
          </cell>
        </row>
        <row r="98">
          <cell r="A98" t="str">
            <v>E097</v>
          </cell>
          <cell r="B98" t="str">
            <v>Sunil Rao</v>
          </cell>
          <cell r="C98" t="str">
            <v>Legal</v>
          </cell>
          <cell r="D98">
            <v>56000</v>
          </cell>
          <cell r="E98">
            <v>42210</v>
          </cell>
        </row>
        <row r="99">
          <cell r="A99" t="str">
            <v>E098</v>
          </cell>
          <cell r="B99" t="str">
            <v>Ankita Banerjee</v>
          </cell>
          <cell r="C99" t="str">
            <v>R&amp;D</v>
          </cell>
          <cell r="D99">
            <v>67000</v>
          </cell>
          <cell r="E99">
            <v>43373</v>
          </cell>
        </row>
        <row r="100">
          <cell r="A100" t="str">
            <v>E099</v>
          </cell>
          <cell r="B100" t="str">
            <v>Prakash Singh</v>
          </cell>
          <cell r="C100" t="str">
            <v>Support</v>
          </cell>
          <cell r="D100">
            <v>71000</v>
          </cell>
          <cell r="E100">
            <v>44606</v>
          </cell>
        </row>
        <row r="101">
          <cell r="A101" t="str">
            <v>E100</v>
          </cell>
          <cell r="B101" t="str">
            <v>Radha Menon</v>
          </cell>
          <cell r="C101" t="str">
            <v>Admin</v>
          </cell>
          <cell r="D101">
            <v>64000</v>
          </cell>
          <cell r="E101">
            <v>42887</v>
          </cell>
        </row>
        <row r="102">
          <cell r="A102" t="str">
            <v>E101</v>
          </cell>
          <cell r="B102" t="str">
            <v>Vikram Patel</v>
          </cell>
          <cell r="C102" t="str">
            <v>Sales</v>
          </cell>
          <cell r="D102">
            <v>52000</v>
          </cell>
          <cell r="E102">
            <v>43717</v>
          </cell>
        </row>
        <row r="103">
          <cell r="A103" t="str">
            <v>E102</v>
          </cell>
          <cell r="B103" t="str">
            <v>Neha Gupta</v>
          </cell>
          <cell r="C103" t="str">
            <v>HR</v>
          </cell>
          <cell r="D103">
            <v>48000</v>
          </cell>
          <cell r="E103">
            <v>43848</v>
          </cell>
        </row>
        <row r="104">
          <cell r="A104" t="str">
            <v>E103</v>
          </cell>
          <cell r="B104" t="str">
            <v>Arjun Sharma</v>
          </cell>
          <cell r="C104" t="str">
            <v>IT</v>
          </cell>
          <cell r="D104">
            <v>75000</v>
          </cell>
          <cell r="E104">
            <v>43258</v>
          </cell>
        </row>
        <row r="105">
          <cell r="A105" t="str">
            <v>E104</v>
          </cell>
          <cell r="B105" t="str">
            <v>Divya Mehra</v>
          </cell>
          <cell r="C105" t="str">
            <v>Finance</v>
          </cell>
          <cell r="D105">
            <v>61000</v>
          </cell>
          <cell r="E105">
            <v>44280</v>
          </cell>
        </row>
        <row r="106">
          <cell r="A106" t="str">
            <v>E105</v>
          </cell>
          <cell r="B106" t="str">
            <v>Rohit Nair</v>
          </cell>
          <cell r="C106" t="str">
            <v>Marketing</v>
          </cell>
          <cell r="D106">
            <v>69000</v>
          </cell>
          <cell r="E106">
            <v>43010</v>
          </cell>
        </row>
        <row r="107">
          <cell r="A107" t="str">
            <v>E106</v>
          </cell>
          <cell r="B107" t="str">
            <v>Anjali Joshi</v>
          </cell>
          <cell r="C107" t="str">
            <v>Operations</v>
          </cell>
          <cell r="D107">
            <v>72000</v>
          </cell>
          <cell r="E107">
            <v>44758</v>
          </cell>
        </row>
        <row r="108">
          <cell r="A108" t="str">
            <v>E107</v>
          </cell>
          <cell r="B108" t="str">
            <v>Praveen Kumar</v>
          </cell>
          <cell r="C108" t="str">
            <v>Legal</v>
          </cell>
          <cell r="D108">
            <v>50000</v>
          </cell>
          <cell r="E108">
            <v>43523</v>
          </cell>
        </row>
        <row r="109">
          <cell r="A109" t="str">
            <v>E108</v>
          </cell>
          <cell r="B109" t="str">
            <v>Shweta Rao</v>
          </cell>
          <cell r="C109" t="str">
            <v>R&amp;D</v>
          </cell>
          <cell r="D109">
            <v>66000</v>
          </cell>
          <cell r="E109">
            <v>43955</v>
          </cell>
        </row>
        <row r="110">
          <cell r="A110" t="str">
            <v>E109</v>
          </cell>
          <cell r="B110" t="str">
            <v>Manisha Sood</v>
          </cell>
          <cell r="C110" t="str">
            <v>Support</v>
          </cell>
          <cell r="D110">
            <v>58000</v>
          </cell>
          <cell r="E110">
            <v>42380</v>
          </cell>
        </row>
        <row r="111">
          <cell r="A111" t="str">
            <v>E110</v>
          </cell>
          <cell r="B111" t="str">
            <v>Arun D'Souza</v>
          </cell>
          <cell r="C111" t="str">
            <v>Admin</v>
          </cell>
          <cell r="D111">
            <v>45000</v>
          </cell>
          <cell r="E111">
            <v>42328</v>
          </cell>
        </row>
        <row r="112">
          <cell r="A112" t="str">
            <v>E111</v>
          </cell>
          <cell r="B112" t="str">
            <v>Neeraj Sharma</v>
          </cell>
          <cell r="C112" t="str">
            <v>Sales</v>
          </cell>
          <cell r="D112">
            <v>80000</v>
          </cell>
          <cell r="E112">
            <v>43433</v>
          </cell>
        </row>
        <row r="113">
          <cell r="A113" t="str">
            <v>E112</v>
          </cell>
          <cell r="B113" t="str">
            <v>Megha Verma</v>
          </cell>
          <cell r="C113" t="str">
            <v>HR</v>
          </cell>
          <cell r="D113">
            <v>54000</v>
          </cell>
          <cell r="E113">
            <v>42780</v>
          </cell>
        </row>
        <row r="114">
          <cell r="A114" t="str">
            <v>E113</v>
          </cell>
          <cell r="B114" t="str">
            <v>Aditya Kapoor</v>
          </cell>
          <cell r="C114" t="str">
            <v>IT</v>
          </cell>
          <cell r="D114">
            <v>47000</v>
          </cell>
          <cell r="E114">
            <v>44411</v>
          </cell>
        </row>
        <row r="115">
          <cell r="A115" t="str">
            <v>E114</v>
          </cell>
          <cell r="B115" t="str">
            <v>Sunita Chawla</v>
          </cell>
          <cell r="C115" t="str">
            <v>Finance</v>
          </cell>
          <cell r="D115">
            <v>90000</v>
          </cell>
          <cell r="E115">
            <v>42451</v>
          </cell>
        </row>
        <row r="116">
          <cell r="A116" t="str">
            <v>E115</v>
          </cell>
          <cell r="B116" t="str">
            <v>Rahul Bhatt</v>
          </cell>
          <cell r="C116" t="str">
            <v>Marketing</v>
          </cell>
          <cell r="D116">
            <v>62000</v>
          </cell>
          <cell r="E116">
            <v>43496</v>
          </cell>
        </row>
        <row r="117">
          <cell r="A117" t="str">
            <v>E116</v>
          </cell>
          <cell r="B117" t="str">
            <v>Anita Reddy</v>
          </cell>
          <cell r="C117" t="str">
            <v>Operations</v>
          </cell>
          <cell r="D117">
            <v>73000</v>
          </cell>
          <cell r="E117">
            <v>44086</v>
          </cell>
        </row>
        <row r="118">
          <cell r="A118" t="str">
            <v>E117</v>
          </cell>
          <cell r="B118" t="str">
            <v>Prakash Iyer</v>
          </cell>
          <cell r="C118" t="str">
            <v>Legal</v>
          </cell>
          <cell r="D118">
            <v>56000</v>
          </cell>
          <cell r="E118">
            <v>42125</v>
          </cell>
        </row>
        <row r="119">
          <cell r="A119" t="str">
            <v>E118</v>
          </cell>
          <cell r="B119" t="str">
            <v>Swati Banerjee</v>
          </cell>
          <cell r="C119" t="str">
            <v>R&amp;D</v>
          </cell>
          <cell r="D119">
            <v>67000</v>
          </cell>
          <cell r="E119">
            <v>43393</v>
          </cell>
        </row>
        <row r="120">
          <cell r="A120" t="str">
            <v>E119</v>
          </cell>
          <cell r="B120" t="str">
            <v>Manoj Menon</v>
          </cell>
          <cell r="C120" t="str">
            <v>Support</v>
          </cell>
          <cell r="D120">
            <v>71000</v>
          </cell>
          <cell r="E120">
            <v>44872</v>
          </cell>
        </row>
        <row r="121">
          <cell r="A121" t="str">
            <v>E120</v>
          </cell>
          <cell r="B121" t="str">
            <v>Neha Saini</v>
          </cell>
          <cell r="C121" t="str">
            <v>Admin</v>
          </cell>
          <cell r="D121">
            <v>64000</v>
          </cell>
          <cell r="E121">
            <v>42851</v>
          </cell>
        </row>
        <row r="122">
          <cell r="A122" t="str">
            <v>E121</v>
          </cell>
          <cell r="B122" t="str">
            <v>Arjun Gupta</v>
          </cell>
          <cell r="C122" t="str">
            <v>Sales</v>
          </cell>
          <cell r="D122">
            <v>52000</v>
          </cell>
          <cell r="E122">
            <v>43784</v>
          </cell>
        </row>
        <row r="123">
          <cell r="A123" t="str">
            <v>E122</v>
          </cell>
          <cell r="B123" t="str">
            <v>Shreya Sharma</v>
          </cell>
          <cell r="C123" t="str">
            <v>HR</v>
          </cell>
          <cell r="D123">
            <v>48000</v>
          </cell>
          <cell r="E123">
            <v>44072</v>
          </cell>
        </row>
        <row r="124">
          <cell r="A124" t="str">
            <v>E123</v>
          </cell>
          <cell r="B124" t="str">
            <v>Varun Joshi</v>
          </cell>
          <cell r="C124" t="str">
            <v>IT</v>
          </cell>
          <cell r="D124">
            <v>75000</v>
          </cell>
          <cell r="E124">
            <v>43164</v>
          </cell>
        </row>
        <row r="125">
          <cell r="A125" t="str">
            <v>E124</v>
          </cell>
          <cell r="B125" t="str">
            <v>Deepika Rao</v>
          </cell>
          <cell r="C125" t="str">
            <v>Finance</v>
          </cell>
          <cell r="D125">
            <v>61000</v>
          </cell>
          <cell r="E125">
            <v>44337</v>
          </cell>
        </row>
        <row r="126">
          <cell r="A126" t="str">
            <v>E125</v>
          </cell>
          <cell r="B126" t="str">
            <v>Sameer Khan</v>
          </cell>
          <cell r="C126" t="str">
            <v>Marketing</v>
          </cell>
          <cell r="D126">
            <v>69000</v>
          </cell>
          <cell r="E126">
            <v>42986</v>
          </cell>
        </row>
        <row r="127">
          <cell r="A127" t="str">
            <v>E126</v>
          </cell>
          <cell r="B127" t="str">
            <v>Anjali Menon</v>
          </cell>
          <cell r="C127" t="str">
            <v>Operations</v>
          </cell>
          <cell r="D127">
            <v>72000</v>
          </cell>
          <cell r="E127">
            <v>44594</v>
          </cell>
        </row>
        <row r="128">
          <cell r="A128" t="str">
            <v>E127</v>
          </cell>
          <cell r="B128" t="str">
            <v>Rajesh Patel</v>
          </cell>
          <cell r="C128" t="str">
            <v>Legal</v>
          </cell>
          <cell r="D128">
            <v>50000</v>
          </cell>
          <cell r="E128">
            <v>43633</v>
          </cell>
        </row>
        <row r="129">
          <cell r="A129" t="str">
            <v>E128</v>
          </cell>
          <cell r="B129" t="str">
            <v>Meera Nambiar</v>
          </cell>
          <cell r="C129" t="str">
            <v>R&amp;D</v>
          </cell>
          <cell r="D129">
            <v>66000</v>
          </cell>
          <cell r="E129">
            <v>44127</v>
          </cell>
        </row>
        <row r="130">
          <cell r="A130" t="str">
            <v>E129</v>
          </cell>
          <cell r="B130" t="str">
            <v>Pranav Kulkarni</v>
          </cell>
          <cell r="C130" t="str">
            <v>Support</v>
          </cell>
          <cell r="D130">
            <v>58000</v>
          </cell>
          <cell r="E130">
            <v>42490</v>
          </cell>
        </row>
        <row r="131">
          <cell r="A131" t="str">
            <v>E130</v>
          </cell>
          <cell r="B131" t="str">
            <v>Sunita Dutta</v>
          </cell>
          <cell r="C131" t="str">
            <v>Admin</v>
          </cell>
          <cell r="D131">
            <v>45000</v>
          </cell>
          <cell r="E131">
            <v>42192</v>
          </cell>
        </row>
        <row r="132">
          <cell r="A132" t="str">
            <v>E131</v>
          </cell>
          <cell r="B132" t="str">
            <v>Arnav Sharma</v>
          </cell>
          <cell r="C132" t="str">
            <v>Sales</v>
          </cell>
          <cell r="D132">
            <v>80000</v>
          </cell>
          <cell r="E132">
            <v>43452</v>
          </cell>
        </row>
        <row r="133">
          <cell r="A133" t="str">
            <v>E132</v>
          </cell>
          <cell r="B133" t="str">
            <v>Anita Verma</v>
          </cell>
          <cell r="C133" t="str">
            <v>HR</v>
          </cell>
          <cell r="D133">
            <v>54000</v>
          </cell>
          <cell r="E133">
            <v>43040</v>
          </cell>
        </row>
        <row r="134">
          <cell r="A134" t="str">
            <v>E133</v>
          </cell>
          <cell r="B134" t="str">
            <v>Krishna Menon</v>
          </cell>
          <cell r="C134" t="str">
            <v>IT</v>
          </cell>
          <cell r="D134">
            <v>47000</v>
          </cell>
          <cell r="E134">
            <v>44209</v>
          </cell>
        </row>
        <row r="135">
          <cell r="A135" t="str">
            <v>E134</v>
          </cell>
          <cell r="B135" t="str">
            <v>Rekha Malhotra</v>
          </cell>
          <cell r="C135" t="str">
            <v>Finance</v>
          </cell>
          <cell r="D135">
            <v>90000</v>
          </cell>
          <cell r="E135">
            <v>42606</v>
          </cell>
        </row>
        <row r="136">
          <cell r="A136" t="str">
            <v>E135</v>
          </cell>
          <cell r="B136" t="str">
            <v>Rahul Chopra</v>
          </cell>
          <cell r="C136" t="str">
            <v>Marketing</v>
          </cell>
          <cell r="D136">
            <v>62000</v>
          </cell>
          <cell r="E136">
            <v>43501</v>
          </cell>
        </row>
        <row r="137">
          <cell r="A137" t="str">
            <v>E136</v>
          </cell>
          <cell r="B137" t="str">
            <v>Neha Bhattacharya</v>
          </cell>
          <cell r="C137" t="str">
            <v>Operations</v>
          </cell>
          <cell r="D137">
            <v>73000</v>
          </cell>
          <cell r="E137">
            <v>44012</v>
          </cell>
        </row>
        <row r="138">
          <cell r="A138" t="str">
            <v>E137</v>
          </cell>
          <cell r="B138" t="str">
            <v>Pradeep Iyer</v>
          </cell>
          <cell r="C138" t="str">
            <v>Legal</v>
          </cell>
          <cell r="D138">
            <v>56000</v>
          </cell>
          <cell r="E138">
            <v>42266</v>
          </cell>
        </row>
        <row r="139">
          <cell r="A139" t="str">
            <v>E138</v>
          </cell>
          <cell r="B139" t="str">
            <v>Ankita Ghosh</v>
          </cell>
          <cell r="C139" t="str">
            <v>R&amp;D</v>
          </cell>
          <cell r="D139">
            <v>67000</v>
          </cell>
          <cell r="E139">
            <v>43198</v>
          </cell>
        </row>
        <row r="140">
          <cell r="A140" t="str">
            <v>E139</v>
          </cell>
          <cell r="B140" t="str">
            <v>Manish Nair</v>
          </cell>
          <cell r="C140" t="str">
            <v>Support</v>
          </cell>
          <cell r="D140">
            <v>71000</v>
          </cell>
          <cell r="E140">
            <v>44805</v>
          </cell>
        </row>
        <row r="141">
          <cell r="A141" t="str">
            <v>E140</v>
          </cell>
          <cell r="B141" t="str">
            <v>Divya Kulkarni</v>
          </cell>
          <cell r="C141" t="str">
            <v>Admin</v>
          </cell>
          <cell r="D141">
            <v>64000</v>
          </cell>
          <cell r="E141">
            <v>43079</v>
          </cell>
        </row>
        <row r="142">
          <cell r="A142" t="str">
            <v>E141</v>
          </cell>
          <cell r="B142" t="str">
            <v>Aditya Shah</v>
          </cell>
          <cell r="C142" t="str">
            <v>Sales</v>
          </cell>
          <cell r="D142">
            <v>52000</v>
          </cell>
          <cell r="E142">
            <v>43557</v>
          </cell>
        </row>
        <row r="143">
          <cell r="A143" t="str">
            <v>E142</v>
          </cell>
          <cell r="B143" t="str">
            <v>Shalini Menon</v>
          </cell>
          <cell r="C143" t="str">
            <v>HR</v>
          </cell>
          <cell r="D143">
            <v>48000</v>
          </cell>
          <cell r="E143">
            <v>43872</v>
          </cell>
        </row>
        <row r="144">
          <cell r="A144" t="str">
            <v>E143</v>
          </cell>
          <cell r="B144" t="str">
            <v>Arjun Bhat</v>
          </cell>
          <cell r="C144" t="str">
            <v>IT</v>
          </cell>
          <cell r="D144">
            <v>75000</v>
          </cell>
          <cell r="E144">
            <v>43307</v>
          </cell>
        </row>
        <row r="145">
          <cell r="A145" t="str">
            <v>E144</v>
          </cell>
          <cell r="B145" t="str">
            <v>Neeta Gupta</v>
          </cell>
          <cell r="C145" t="str">
            <v>Finance</v>
          </cell>
          <cell r="D145">
            <v>61000</v>
          </cell>
          <cell r="E145">
            <v>44484</v>
          </cell>
        </row>
        <row r="146">
          <cell r="A146" t="str">
            <v>E145</v>
          </cell>
          <cell r="B146" t="str">
            <v>Prerna Kapoor</v>
          </cell>
          <cell r="C146" t="str">
            <v>Marketing</v>
          </cell>
          <cell r="D146">
            <v>69000</v>
          </cell>
          <cell r="E146">
            <v>42879</v>
          </cell>
        </row>
        <row r="147">
          <cell r="A147" t="str">
            <v>E146</v>
          </cell>
          <cell r="B147" t="str">
            <v>Rajiv Desai</v>
          </cell>
          <cell r="C147" t="str">
            <v>Operations</v>
          </cell>
          <cell r="D147">
            <v>72000</v>
          </cell>
          <cell r="E147">
            <v>44623</v>
          </cell>
        </row>
        <row r="148">
          <cell r="A148" t="str">
            <v>E147</v>
          </cell>
          <cell r="B148" t="str">
            <v>Anupama Rao</v>
          </cell>
          <cell r="C148" t="str">
            <v>Legal</v>
          </cell>
          <cell r="D148">
            <v>50000</v>
          </cell>
          <cell r="E148">
            <v>43485</v>
          </cell>
        </row>
        <row r="149">
          <cell r="A149" t="str">
            <v>E148</v>
          </cell>
          <cell r="B149" t="str">
            <v>Sameer Verma</v>
          </cell>
          <cell r="C149" t="str">
            <v>R&amp;D</v>
          </cell>
          <cell r="D149">
            <v>66000</v>
          </cell>
          <cell r="E149">
            <v>44021</v>
          </cell>
        </row>
        <row r="150">
          <cell r="A150" t="str">
            <v>E149</v>
          </cell>
          <cell r="B150" t="str">
            <v>Meera Singh</v>
          </cell>
          <cell r="C150" t="str">
            <v>Support</v>
          </cell>
          <cell r="D150">
            <v>58000</v>
          </cell>
          <cell r="E150">
            <v>42671</v>
          </cell>
        </row>
        <row r="151">
          <cell r="A151" t="str">
            <v>E150</v>
          </cell>
          <cell r="B151" t="str">
            <v>Arun Menon</v>
          </cell>
          <cell r="C151" t="str">
            <v>Admin</v>
          </cell>
          <cell r="D151">
            <v>45000</v>
          </cell>
          <cell r="E151">
            <v>42075</v>
          </cell>
        </row>
        <row r="152">
          <cell r="A152" t="str">
            <v>E151</v>
          </cell>
          <cell r="B152" t="str">
            <v>Neeraj Gupta</v>
          </cell>
          <cell r="C152" t="str">
            <v>Sales</v>
          </cell>
          <cell r="D152">
            <v>80000</v>
          </cell>
          <cell r="E152">
            <v>43221</v>
          </cell>
        </row>
        <row r="153">
          <cell r="A153" t="str">
            <v>E152</v>
          </cell>
          <cell r="B153" t="str">
            <v>Shweta Sharma</v>
          </cell>
          <cell r="C153" t="str">
            <v>HR</v>
          </cell>
          <cell r="D153">
            <v>54000</v>
          </cell>
          <cell r="E153">
            <v>42902</v>
          </cell>
        </row>
        <row r="154">
          <cell r="A154" t="str">
            <v>E153</v>
          </cell>
          <cell r="B154" t="str">
            <v>Pratik Patel</v>
          </cell>
          <cell r="C154" t="str">
            <v>IT</v>
          </cell>
          <cell r="D154">
            <v>47000</v>
          </cell>
          <cell r="E154">
            <v>44231</v>
          </cell>
        </row>
        <row r="155">
          <cell r="A155" t="str">
            <v>E154</v>
          </cell>
          <cell r="B155" t="str">
            <v>Anjali Chawla</v>
          </cell>
          <cell r="C155" t="str">
            <v>Finance</v>
          </cell>
          <cell r="D155">
            <v>90000</v>
          </cell>
          <cell r="E155">
            <v>42697</v>
          </cell>
        </row>
        <row r="156">
          <cell r="A156" t="str">
            <v>E155</v>
          </cell>
          <cell r="B156" t="str">
            <v>Rohit Bhatt</v>
          </cell>
          <cell r="C156" t="str">
            <v>Marketing</v>
          </cell>
          <cell r="D156">
            <v>62000</v>
          </cell>
          <cell r="E156">
            <v>43689</v>
          </cell>
        </row>
        <row r="157">
          <cell r="A157" t="str">
            <v>E156</v>
          </cell>
          <cell r="B157" t="str">
            <v>Divya Reddy</v>
          </cell>
          <cell r="C157" t="str">
            <v>Operations</v>
          </cell>
          <cell r="D157">
            <v>73000</v>
          </cell>
          <cell r="E157">
            <v>44194</v>
          </cell>
        </row>
        <row r="158">
          <cell r="A158" t="str">
            <v>E157</v>
          </cell>
          <cell r="B158" t="str">
            <v>Sunil Iyer</v>
          </cell>
          <cell r="C158" t="str">
            <v>Legal</v>
          </cell>
          <cell r="D158">
            <v>56000</v>
          </cell>
          <cell r="E158">
            <v>42011</v>
          </cell>
        </row>
        <row r="159">
          <cell r="A159" t="str">
            <v>E158</v>
          </cell>
          <cell r="B159" t="str">
            <v>Megha Banerjee</v>
          </cell>
          <cell r="C159" t="str">
            <v>R&amp;D</v>
          </cell>
          <cell r="D159">
            <v>67000</v>
          </cell>
          <cell r="E159">
            <v>43269</v>
          </cell>
        </row>
        <row r="160">
          <cell r="A160" t="str">
            <v>E159</v>
          </cell>
          <cell r="B160" t="str">
            <v>Arvind Menon</v>
          </cell>
          <cell r="C160" t="str">
            <v>Support</v>
          </cell>
          <cell r="D160">
            <v>71000</v>
          </cell>
          <cell r="E160">
            <v>44706</v>
          </cell>
        </row>
        <row r="161">
          <cell r="A161" t="str">
            <v>E160</v>
          </cell>
          <cell r="B161" t="str">
            <v>Anita Saini</v>
          </cell>
          <cell r="C161" t="str">
            <v>Admin</v>
          </cell>
          <cell r="D161">
            <v>64000</v>
          </cell>
          <cell r="E161">
            <v>42768</v>
          </cell>
        </row>
        <row r="162">
          <cell r="A162" t="str">
            <v>E161</v>
          </cell>
          <cell r="B162" t="str">
            <v>Prakash Sharma</v>
          </cell>
          <cell r="C162" t="str">
            <v>Sales</v>
          </cell>
          <cell r="D162">
            <v>52000</v>
          </cell>
          <cell r="E162">
            <v>43758</v>
          </cell>
        </row>
        <row r="163">
          <cell r="A163" t="str">
            <v>E162</v>
          </cell>
          <cell r="B163" t="str">
            <v>Neha Verma</v>
          </cell>
          <cell r="C163" t="str">
            <v>HR</v>
          </cell>
          <cell r="D163">
            <v>48000</v>
          </cell>
          <cell r="E163">
            <v>43922</v>
          </cell>
        </row>
        <row r="164">
          <cell r="A164" t="str">
            <v>E163</v>
          </cell>
          <cell r="B164" t="str">
            <v>Aditya Joshi</v>
          </cell>
          <cell r="C164" t="str">
            <v>IT</v>
          </cell>
          <cell r="D164">
            <v>75000</v>
          </cell>
          <cell r="E164">
            <v>43356</v>
          </cell>
        </row>
        <row r="165">
          <cell r="A165" t="str">
            <v>E164</v>
          </cell>
          <cell r="B165" t="str">
            <v>Shweta Kapoor</v>
          </cell>
          <cell r="C165" t="str">
            <v>Finance</v>
          </cell>
          <cell r="D165">
            <v>61000</v>
          </cell>
          <cell r="E165">
            <v>44353</v>
          </cell>
        </row>
        <row r="166">
          <cell r="A166" t="str">
            <v>E165</v>
          </cell>
          <cell r="B166" t="str">
            <v>Manish Reddy</v>
          </cell>
          <cell r="C166" t="str">
            <v>Marketing</v>
          </cell>
          <cell r="D166">
            <v>69000</v>
          </cell>
          <cell r="E166">
            <v>43066</v>
          </cell>
        </row>
        <row r="167">
          <cell r="A167" t="str">
            <v>E166</v>
          </cell>
          <cell r="B167" t="str">
            <v>Anjali Dutta</v>
          </cell>
          <cell r="C167" t="str">
            <v>Operations</v>
          </cell>
          <cell r="D167">
            <v>72000</v>
          </cell>
          <cell r="E167">
            <v>44576</v>
          </cell>
        </row>
        <row r="168">
          <cell r="A168" t="str">
            <v>E167</v>
          </cell>
          <cell r="B168" t="str">
            <v>Rajesh Iyer</v>
          </cell>
          <cell r="C168" t="str">
            <v>Legal</v>
          </cell>
          <cell r="D168">
            <v>50000</v>
          </cell>
          <cell r="E168">
            <v>43532</v>
          </cell>
        </row>
        <row r="169">
          <cell r="A169" t="str">
            <v>E168</v>
          </cell>
          <cell r="B169" t="str">
            <v>Meera Shah</v>
          </cell>
          <cell r="C169" t="str">
            <v>R&amp;D</v>
          </cell>
          <cell r="D169">
            <v>66000</v>
          </cell>
          <cell r="E169">
            <v>44063</v>
          </cell>
        </row>
        <row r="170">
          <cell r="A170" t="str">
            <v>E169</v>
          </cell>
          <cell r="B170" t="str">
            <v>Pranav Sood</v>
          </cell>
          <cell r="C170" t="str">
            <v>Support</v>
          </cell>
          <cell r="D170">
            <v>58000</v>
          </cell>
          <cell r="E170">
            <v>42409</v>
          </cell>
        </row>
        <row r="171">
          <cell r="A171" t="str">
            <v>E170</v>
          </cell>
          <cell r="B171" t="str">
            <v>Sunita Menon</v>
          </cell>
          <cell r="C171" t="str">
            <v>Admin</v>
          </cell>
          <cell r="D171">
            <v>45000</v>
          </cell>
          <cell r="E171">
            <v>42277</v>
          </cell>
        </row>
        <row r="172">
          <cell r="A172" t="str">
            <v>E171</v>
          </cell>
          <cell r="B172" t="str">
            <v>Arjun Chopra</v>
          </cell>
          <cell r="C172" t="str">
            <v>Sales</v>
          </cell>
          <cell r="D172">
            <v>80000</v>
          </cell>
          <cell r="E172">
            <v>43119</v>
          </cell>
        </row>
        <row r="173">
          <cell r="A173" t="str">
            <v>E172</v>
          </cell>
          <cell r="B173" t="str">
            <v>Neha Nair</v>
          </cell>
          <cell r="C173" t="str">
            <v>HR</v>
          </cell>
          <cell r="D173">
            <v>54000</v>
          </cell>
          <cell r="E173">
            <v>42822</v>
          </cell>
        </row>
        <row r="174">
          <cell r="A174" t="str">
            <v>E173</v>
          </cell>
          <cell r="B174" t="str">
            <v>Devanshi Gupta</v>
          </cell>
          <cell r="C174" t="str">
            <v>IT</v>
          </cell>
          <cell r="D174">
            <v>47000</v>
          </cell>
          <cell r="E174">
            <v>44325</v>
          </cell>
        </row>
        <row r="175">
          <cell r="A175" t="str">
            <v>E174</v>
          </cell>
          <cell r="B175" t="str">
            <v>Rakesh Verma</v>
          </cell>
          <cell r="C175" t="str">
            <v>Finance</v>
          </cell>
          <cell r="D175">
            <v>90000</v>
          </cell>
          <cell r="E175">
            <v>42535</v>
          </cell>
        </row>
        <row r="176">
          <cell r="A176" t="str">
            <v>E175</v>
          </cell>
          <cell r="B176" t="str">
            <v>Shreya Patel</v>
          </cell>
          <cell r="C176" t="str">
            <v>Marketing</v>
          </cell>
          <cell r="D176">
            <v>62000</v>
          </cell>
          <cell r="E176">
            <v>43669</v>
          </cell>
        </row>
        <row r="177">
          <cell r="A177" t="str">
            <v>E176</v>
          </cell>
          <cell r="B177" t="str">
            <v>Anil Menon</v>
          </cell>
          <cell r="C177" t="str">
            <v>Operations</v>
          </cell>
          <cell r="D177">
            <v>73000</v>
          </cell>
          <cell r="E177">
            <v>44139</v>
          </cell>
        </row>
        <row r="178">
          <cell r="A178" t="str">
            <v>E177</v>
          </cell>
          <cell r="B178" t="str">
            <v>Rekha Bhat</v>
          </cell>
          <cell r="C178" t="str">
            <v>Legal</v>
          </cell>
          <cell r="D178">
            <v>56000</v>
          </cell>
          <cell r="E178">
            <v>42217</v>
          </cell>
        </row>
        <row r="179">
          <cell r="A179" t="str">
            <v>E178</v>
          </cell>
          <cell r="B179" t="str">
            <v>Pratik Ghosh</v>
          </cell>
          <cell r="C179" t="str">
            <v>R&amp;D</v>
          </cell>
          <cell r="D179">
            <v>67000</v>
          </cell>
          <cell r="E179">
            <v>43169</v>
          </cell>
        </row>
        <row r="180">
          <cell r="A180" t="str">
            <v>E179</v>
          </cell>
          <cell r="B180" t="str">
            <v>Manish Kapoor</v>
          </cell>
          <cell r="C180" t="str">
            <v>Support</v>
          </cell>
          <cell r="D180">
            <v>71000</v>
          </cell>
          <cell r="E180">
            <v>44740</v>
          </cell>
        </row>
        <row r="181">
          <cell r="A181" t="str">
            <v>E180</v>
          </cell>
          <cell r="B181" t="str">
            <v>Divya Nambiar</v>
          </cell>
          <cell r="C181" t="str">
            <v>Admin</v>
          </cell>
          <cell r="D181">
            <v>64000</v>
          </cell>
          <cell r="E181">
            <v>42737</v>
          </cell>
        </row>
        <row r="182">
          <cell r="A182" t="str">
            <v>E181</v>
          </cell>
          <cell r="B182" t="str">
            <v>Arjun Kumar</v>
          </cell>
          <cell r="C182" t="str">
            <v>Sales</v>
          </cell>
          <cell r="D182">
            <v>52000</v>
          </cell>
          <cell r="E182">
            <v>43622</v>
          </cell>
        </row>
        <row r="183">
          <cell r="A183" t="str">
            <v>E182</v>
          </cell>
          <cell r="B183" t="str">
            <v>Shalini Iqbal</v>
          </cell>
          <cell r="C183" t="str">
            <v>HR</v>
          </cell>
          <cell r="D183">
            <v>48000</v>
          </cell>
          <cell r="E183">
            <v>44091</v>
          </cell>
        </row>
        <row r="184">
          <cell r="A184" t="str">
            <v>E183</v>
          </cell>
          <cell r="B184" t="str">
            <v>Krishna Sharma</v>
          </cell>
          <cell r="C184" t="str">
            <v>IT</v>
          </cell>
          <cell r="D184">
            <v>75000</v>
          </cell>
          <cell r="E184">
            <v>43156</v>
          </cell>
        </row>
        <row r="185">
          <cell r="A185" t="str">
            <v>E184</v>
          </cell>
          <cell r="B185" t="str">
            <v>Neeta Menon</v>
          </cell>
          <cell r="C185" t="str">
            <v>Finance</v>
          </cell>
          <cell r="D185">
            <v>61000</v>
          </cell>
          <cell r="E185">
            <v>44439</v>
          </cell>
        </row>
        <row r="186">
          <cell r="A186" t="str">
            <v>E185</v>
          </cell>
          <cell r="B186" t="str">
            <v>Rahul Nair</v>
          </cell>
          <cell r="C186" t="str">
            <v>Marketing</v>
          </cell>
          <cell r="D186">
            <v>69000</v>
          </cell>
          <cell r="E186">
            <v>42837</v>
          </cell>
        </row>
        <row r="187">
          <cell r="A187" t="str">
            <v>E186</v>
          </cell>
          <cell r="B187" t="str">
            <v>Anita Kulkarni</v>
          </cell>
          <cell r="C187" t="str">
            <v>Operations</v>
          </cell>
          <cell r="D187">
            <v>72000</v>
          </cell>
          <cell r="E187">
            <v>44656</v>
          </cell>
        </row>
        <row r="188">
          <cell r="A188" t="str">
            <v>E187</v>
          </cell>
          <cell r="B188" t="str">
            <v>Praveen Shah</v>
          </cell>
          <cell r="C188" t="str">
            <v>Legal</v>
          </cell>
          <cell r="D188">
            <v>50000</v>
          </cell>
          <cell r="E188">
            <v>43827</v>
          </cell>
        </row>
        <row r="189">
          <cell r="A189" t="str">
            <v>E188</v>
          </cell>
          <cell r="B189" t="str">
            <v>Megha Bhatt</v>
          </cell>
          <cell r="C189" t="str">
            <v>R&amp;D</v>
          </cell>
          <cell r="D189">
            <v>66000</v>
          </cell>
          <cell r="E189">
            <v>44004</v>
          </cell>
        </row>
        <row r="190">
          <cell r="A190" t="str">
            <v>E189</v>
          </cell>
          <cell r="B190" t="str">
            <v>Arvind Gupta</v>
          </cell>
          <cell r="C190" t="str">
            <v>Support</v>
          </cell>
          <cell r="D190">
            <v>58000</v>
          </cell>
          <cell r="E190">
            <v>42566</v>
          </cell>
        </row>
        <row r="191">
          <cell r="A191" t="str">
            <v>E190</v>
          </cell>
          <cell r="B191" t="str">
            <v>Sunita D'Souza</v>
          </cell>
          <cell r="C191" t="str">
            <v>Admin</v>
          </cell>
          <cell r="D191">
            <v>45000</v>
          </cell>
          <cell r="E191">
            <v>42030</v>
          </cell>
        </row>
        <row r="192">
          <cell r="A192" t="str">
            <v>E191</v>
          </cell>
          <cell r="B192" t="str">
            <v>Aditya Mehta</v>
          </cell>
          <cell r="C192" t="str">
            <v>Sales</v>
          </cell>
          <cell r="D192">
            <v>80000</v>
          </cell>
          <cell r="E192">
            <v>43382</v>
          </cell>
        </row>
        <row r="193">
          <cell r="A193" t="str">
            <v>E192</v>
          </cell>
          <cell r="B193" t="str">
            <v>Neha Chopra</v>
          </cell>
          <cell r="C193" t="str">
            <v>HR</v>
          </cell>
          <cell r="D193">
            <v>54000</v>
          </cell>
          <cell r="E193">
            <v>42873</v>
          </cell>
        </row>
        <row r="194">
          <cell r="A194" t="str">
            <v>E193</v>
          </cell>
          <cell r="B194" t="str">
            <v>Devansh Rao</v>
          </cell>
          <cell r="C194" t="str">
            <v>IT</v>
          </cell>
          <cell r="D194">
            <v>47000</v>
          </cell>
          <cell r="E194">
            <v>44378</v>
          </cell>
        </row>
        <row r="195">
          <cell r="A195" t="str">
            <v>E194</v>
          </cell>
          <cell r="B195" t="str">
            <v>Shreya Menon</v>
          </cell>
          <cell r="C195" t="str">
            <v>Finance</v>
          </cell>
          <cell r="D195">
            <v>90000</v>
          </cell>
          <cell r="E195">
            <v>42715</v>
          </cell>
        </row>
        <row r="196">
          <cell r="A196" t="str">
            <v>E195</v>
          </cell>
          <cell r="B196" t="str">
            <v>Manish Shah</v>
          </cell>
          <cell r="C196" t="str">
            <v>Marketing</v>
          </cell>
          <cell r="D196">
            <v>62000</v>
          </cell>
          <cell r="E196">
            <v>43553</v>
          </cell>
        </row>
        <row r="197">
          <cell r="A197" t="str">
            <v>E196</v>
          </cell>
          <cell r="B197" t="str">
            <v>Anjali Iyer</v>
          </cell>
          <cell r="C197" t="str">
            <v>Operations</v>
          </cell>
          <cell r="D197">
            <v>73000</v>
          </cell>
          <cell r="E197">
            <v>43971</v>
          </cell>
        </row>
        <row r="198">
          <cell r="A198" t="str">
            <v>E197</v>
          </cell>
          <cell r="B198" t="str">
            <v>Prakash Bhatt</v>
          </cell>
          <cell r="C198" t="str">
            <v>Legal</v>
          </cell>
          <cell r="D198">
            <v>56000</v>
          </cell>
          <cell r="E198">
            <v>42283</v>
          </cell>
        </row>
        <row r="199">
          <cell r="A199" t="str">
            <v>E198</v>
          </cell>
          <cell r="B199" t="str">
            <v>Meera Ghosh</v>
          </cell>
          <cell r="C199" t="str">
            <v>R&amp;D</v>
          </cell>
          <cell r="D199">
            <v>67000</v>
          </cell>
          <cell r="E199">
            <v>43327</v>
          </cell>
        </row>
        <row r="200">
          <cell r="A200" t="str">
            <v>E199</v>
          </cell>
          <cell r="B200" t="str">
            <v>Arjun Singh</v>
          </cell>
          <cell r="C200" t="str">
            <v>Support</v>
          </cell>
          <cell r="D200">
            <v>71000</v>
          </cell>
          <cell r="E200">
            <v>44600</v>
          </cell>
        </row>
        <row r="201">
          <cell r="A201" t="str">
            <v>E200</v>
          </cell>
          <cell r="B201" t="str">
            <v>Neeta Patel</v>
          </cell>
          <cell r="C201" t="str">
            <v>Admin</v>
          </cell>
          <cell r="D201">
            <v>64000</v>
          </cell>
          <cell r="E201">
            <v>42950</v>
          </cell>
        </row>
      </sheetData>
      <sheetData sheetId="3"/>
      <sheetData sheetId="4"/>
      <sheetData sheetId="5">
        <row r="1">
          <cell r="A1" t="str">
            <v>Address</v>
          </cell>
          <cell r="D1" t="str">
            <v>EmpID</v>
          </cell>
        </row>
        <row r="2">
          <cell r="A2" t="str">
            <v>12 MG Road</v>
          </cell>
          <cell r="D2" t="str">
            <v>E001</v>
          </cell>
        </row>
        <row r="3">
          <cell r="A3" t="str">
            <v>45 Park Street</v>
          </cell>
          <cell r="D3" t="str">
            <v>E002</v>
          </cell>
        </row>
        <row r="4">
          <cell r="A4" t="str">
            <v>7 Brigade Road</v>
          </cell>
          <cell r="D4" t="str">
            <v>E003</v>
          </cell>
        </row>
        <row r="5">
          <cell r="A5" t="str">
            <v>88 Anna Salai</v>
          </cell>
          <cell r="D5" t="str">
            <v>E004</v>
          </cell>
        </row>
        <row r="6">
          <cell r="A6" t="str">
            <v>101 Marine Drive</v>
          </cell>
          <cell r="D6" t="str">
            <v>E005</v>
          </cell>
        </row>
        <row r="7">
          <cell r="A7" t="str">
            <v>22 MG Road</v>
          </cell>
          <cell r="D7" t="str">
            <v>E006</v>
          </cell>
        </row>
        <row r="8">
          <cell r="A8" t="str">
            <v>5 Banjara Hills</v>
          </cell>
          <cell r="D8" t="str">
            <v>E007</v>
          </cell>
        </row>
        <row r="9">
          <cell r="A9" t="str">
            <v>3 SG Highway</v>
          </cell>
          <cell r="D9" t="str">
            <v>E008</v>
          </cell>
        </row>
        <row r="10">
          <cell r="A10" t="str">
            <v>14 Hazratganj</v>
          </cell>
          <cell r="D10" t="str">
            <v>E009</v>
          </cell>
        </row>
        <row r="11">
          <cell r="A11" t="str">
            <v>9 MI Road</v>
          </cell>
          <cell r="D11" t="str">
            <v>E010</v>
          </cell>
        </row>
        <row r="12">
          <cell r="A12" t="str">
            <v>2 Sector 17</v>
          </cell>
          <cell r="D12" t="str">
            <v>E011</v>
          </cell>
        </row>
        <row r="13">
          <cell r="A13" t="str">
            <v>18 Udyog Vihar</v>
          </cell>
          <cell r="D13" t="str">
            <v>E012</v>
          </cell>
        </row>
        <row r="14">
          <cell r="A14" t="str">
            <v>7 Sector 18</v>
          </cell>
          <cell r="D14" t="str">
            <v>E013</v>
          </cell>
        </row>
        <row r="15">
          <cell r="A15" t="str">
            <v>33 Raj Nagar</v>
          </cell>
          <cell r="D15" t="str">
            <v>E014</v>
          </cell>
        </row>
        <row r="16">
          <cell r="A16" t="str">
            <v>56 Sector 15</v>
          </cell>
          <cell r="D16" t="str">
            <v>E015</v>
          </cell>
        </row>
        <row r="17">
          <cell r="A17" t="str">
            <v>11 Civil Lines</v>
          </cell>
          <cell r="D17" t="str">
            <v>E016</v>
          </cell>
        </row>
        <row r="18">
          <cell r="A18" t="str">
            <v>4 Ring Road</v>
          </cell>
          <cell r="D18" t="str">
            <v>E017</v>
          </cell>
        </row>
        <row r="19">
          <cell r="A19" t="str">
            <v>27 Alkapuri</v>
          </cell>
          <cell r="D19" t="str">
            <v>E018</v>
          </cell>
        </row>
        <row r="20">
          <cell r="A20" t="str">
            <v>19 Arera Hills</v>
          </cell>
          <cell r="D20" t="str">
            <v>E019</v>
          </cell>
        </row>
        <row r="21">
          <cell r="A21" t="str">
            <v>8 MG Road</v>
          </cell>
          <cell r="D21" t="str">
            <v>E020</v>
          </cell>
        </row>
        <row r="22">
          <cell r="A22" t="str">
            <v>21 Bailey Road</v>
          </cell>
          <cell r="D22" t="str">
            <v>E021</v>
          </cell>
        </row>
        <row r="23">
          <cell r="A23" t="str">
            <v>12 Doranda Road</v>
          </cell>
          <cell r="D23" t="str">
            <v>E022</v>
          </cell>
        </row>
        <row r="24">
          <cell r="A24" t="str">
            <v>6 Janpath</v>
          </cell>
          <cell r="D24" t="str">
            <v>E023</v>
          </cell>
        </row>
        <row r="25">
          <cell r="A25" t="str">
            <v>44 Avinashi Road</v>
          </cell>
          <cell r="D25" t="str">
            <v>E024</v>
          </cell>
        </row>
        <row r="26">
          <cell r="A26" t="str">
            <v>3 MG Road</v>
          </cell>
          <cell r="D26" t="str">
            <v>E025</v>
          </cell>
        </row>
        <row r="27">
          <cell r="A27" t="str">
            <v>55 Vazhuthacaud</v>
          </cell>
          <cell r="D27" t="str">
            <v>E026</v>
          </cell>
        </row>
        <row r="28">
          <cell r="A28" t="str">
            <v>9 Nazarbad</v>
          </cell>
          <cell r="D28" t="str">
            <v>E027</v>
          </cell>
        </row>
        <row r="29">
          <cell r="A29" t="str">
            <v>2 Sitabuldi</v>
          </cell>
          <cell r="D29" t="str">
            <v>E028</v>
          </cell>
        </row>
        <row r="30">
          <cell r="A30" t="str">
            <v>18 College Road</v>
          </cell>
          <cell r="D30" t="str">
            <v>E029</v>
          </cell>
        </row>
        <row r="31">
          <cell r="A31" t="str">
            <v>7 Sardarpura</v>
          </cell>
          <cell r="D31" t="str">
            <v>E030</v>
          </cell>
        </row>
        <row r="32">
          <cell r="A32" t="str">
            <v>14 Dewali</v>
          </cell>
          <cell r="D32" t="str">
            <v>E031</v>
          </cell>
        </row>
        <row r="33">
          <cell r="A33" t="str">
            <v>28 Sanjay Place</v>
          </cell>
          <cell r="D33" t="str">
            <v>E032</v>
          </cell>
        </row>
        <row r="34">
          <cell r="A34" t="str">
            <v>10 Lanka Road</v>
          </cell>
          <cell r="D34" t="str">
            <v>E033</v>
          </cell>
        </row>
        <row r="35">
          <cell r="A35" t="str">
            <v>5 Shastri Nagar</v>
          </cell>
          <cell r="D35" t="str">
            <v>E034</v>
          </cell>
        </row>
        <row r="36">
          <cell r="A36" t="str">
            <v>3 Ferozepur Road</v>
          </cell>
          <cell r="D36" t="str">
            <v>E035</v>
          </cell>
        </row>
        <row r="37">
          <cell r="A37" t="str">
            <v>12 Lawrence Road</v>
          </cell>
          <cell r="D37" t="str">
            <v>E036</v>
          </cell>
        </row>
        <row r="38">
          <cell r="A38" t="str">
            <v>9 Model Town</v>
          </cell>
          <cell r="D38" t="str">
            <v>E037</v>
          </cell>
        </row>
        <row r="39">
          <cell r="A39" t="str">
            <v>21 Rajpur Road</v>
          </cell>
          <cell r="D39" t="str">
            <v>E038</v>
          </cell>
        </row>
        <row r="40">
          <cell r="A40" t="str">
            <v>6 The Mall</v>
          </cell>
          <cell r="D40" t="str">
            <v>E039</v>
          </cell>
        </row>
        <row r="41">
          <cell r="A41" t="str">
            <v>11 Lal Chowk</v>
          </cell>
          <cell r="D41" t="str">
            <v>E040</v>
          </cell>
        </row>
        <row r="42">
          <cell r="A42" t="str">
            <v>8 GS Road</v>
          </cell>
          <cell r="D42" t="str">
            <v>E041</v>
          </cell>
        </row>
        <row r="43">
          <cell r="A43" t="str">
            <v>4 Thangal Bazar</v>
          </cell>
          <cell r="D43" t="str">
            <v>E042</v>
          </cell>
        </row>
        <row r="44">
          <cell r="A44" t="str">
            <v>2 VIP Road</v>
          </cell>
          <cell r="D44" t="str">
            <v>E043</v>
          </cell>
        </row>
        <row r="45">
          <cell r="A45" t="str">
            <v>7 Kohima Road</v>
          </cell>
          <cell r="D45" t="str">
            <v>E044</v>
          </cell>
        </row>
        <row r="46">
          <cell r="A46" t="str">
            <v>15 Zarkawt</v>
          </cell>
          <cell r="D46" t="str">
            <v>E045</v>
          </cell>
        </row>
        <row r="47">
          <cell r="A47" t="str">
            <v>9 Aberdeen Bazaar</v>
          </cell>
          <cell r="D47" t="str">
            <v>E046</v>
          </cell>
        </row>
        <row r="48">
          <cell r="A48" t="str">
            <v>33 MG Road</v>
          </cell>
          <cell r="D48" t="str">
            <v>E047</v>
          </cell>
        </row>
        <row r="49">
          <cell r="A49" t="str">
            <v>27 Park Street</v>
          </cell>
          <cell r="D49" t="str">
            <v>E048</v>
          </cell>
        </row>
        <row r="50">
          <cell r="A50" t="str">
            <v>18 Church Street</v>
          </cell>
          <cell r="D50" t="str">
            <v>E049</v>
          </cell>
        </row>
        <row r="51">
          <cell r="A51" t="str">
            <v>44 T Nagar</v>
          </cell>
          <cell r="D51" t="str">
            <v>E050</v>
          </cell>
        </row>
        <row r="52">
          <cell r="A52" t="str">
            <v>66 Colaba Causeway</v>
          </cell>
          <cell r="D52" t="str">
            <v>E051</v>
          </cell>
        </row>
        <row r="53">
          <cell r="A53" t="str">
            <v>12 Koregaon Park</v>
          </cell>
          <cell r="D53" t="str">
            <v>E052</v>
          </cell>
        </row>
        <row r="54">
          <cell r="A54" t="str">
            <v>5 Banjara Hills</v>
          </cell>
          <cell r="D54" t="str">
            <v>E053</v>
          </cell>
        </row>
        <row r="55">
          <cell r="A55" t="str">
            <v>8 CG Road</v>
          </cell>
          <cell r="D55" t="str">
            <v>E054</v>
          </cell>
        </row>
        <row r="56">
          <cell r="A56" t="str">
            <v>20 Hazratganj</v>
          </cell>
          <cell r="D56" t="str">
            <v>E055</v>
          </cell>
        </row>
        <row r="57">
          <cell r="A57" t="str">
            <v>3 MI Road</v>
          </cell>
          <cell r="D57" t="str">
            <v>E056</v>
          </cell>
        </row>
        <row r="58">
          <cell r="A58" t="str">
            <v>11 Sector 17</v>
          </cell>
          <cell r="D58" t="str">
            <v>E057</v>
          </cell>
        </row>
        <row r="59">
          <cell r="A59" t="str">
            <v>29 Udyog Vihar</v>
          </cell>
          <cell r="D59" t="str">
            <v>E058</v>
          </cell>
        </row>
        <row r="60">
          <cell r="A60" t="str">
            <v>14 Sector 62</v>
          </cell>
          <cell r="D60" t="str">
            <v>E059</v>
          </cell>
        </row>
        <row r="61">
          <cell r="A61" t="str">
            <v>2 Indirapuram</v>
          </cell>
          <cell r="D61" t="str">
            <v>E060</v>
          </cell>
        </row>
        <row r="62">
          <cell r="A62" t="str">
            <v>9 Sector 15</v>
          </cell>
          <cell r="D62" t="str">
            <v>E061</v>
          </cell>
        </row>
        <row r="63">
          <cell r="A63" t="str">
            <v>18 Swaroop Nagar</v>
          </cell>
          <cell r="D63" t="str">
            <v>E062</v>
          </cell>
        </row>
        <row r="64">
          <cell r="A64" t="str">
            <v>7 Athwagate</v>
          </cell>
          <cell r="D64" t="str">
            <v>E063</v>
          </cell>
        </row>
        <row r="65">
          <cell r="A65" t="str">
            <v>21 Sama Road</v>
          </cell>
          <cell r="D65" t="str">
            <v>E064</v>
          </cell>
        </row>
        <row r="66">
          <cell r="A66" t="str">
            <v>16 Bittan Market</v>
          </cell>
          <cell r="D66" t="str">
            <v>E065</v>
          </cell>
        </row>
        <row r="67">
          <cell r="A67" t="str">
            <v>4 MR10 Road</v>
          </cell>
          <cell r="D67" t="str">
            <v>E066</v>
          </cell>
        </row>
        <row r="68">
          <cell r="A68" t="str">
            <v>12 Kankarbagh</v>
          </cell>
          <cell r="D68" t="str">
            <v>E067</v>
          </cell>
        </row>
        <row r="69">
          <cell r="A69" t="str">
            <v>8 Hinoo Road</v>
          </cell>
          <cell r="D69" t="str">
            <v>E068</v>
          </cell>
        </row>
        <row r="70">
          <cell r="A70" t="str">
            <v>5 Rasulgarh</v>
          </cell>
          <cell r="D70" t="str">
            <v>E069</v>
          </cell>
        </row>
        <row r="71">
          <cell r="A71" t="str">
            <v>10 Gandhipuram</v>
          </cell>
          <cell r="D71" t="str">
            <v>E070</v>
          </cell>
        </row>
        <row r="72">
          <cell r="A72" t="str">
            <v>3 Fort Kochi</v>
          </cell>
          <cell r="D72" t="str">
            <v>E071</v>
          </cell>
        </row>
        <row r="73">
          <cell r="A73" t="str">
            <v>22 Pattom</v>
          </cell>
          <cell r="D73" t="str">
            <v>E072</v>
          </cell>
        </row>
        <row r="74">
          <cell r="A74" t="str">
            <v>6 Nazarbad Road</v>
          </cell>
          <cell r="D74" t="str">
            <v>E073</v>
          </cell>
        </row>
        <row r="75">
          <cell r="A75" t="str">
            <v>11 Dharampeth</v>
          </cell>
          <cell r="D75" t="str">
            <v>E074</v>
          </cell>
        </row>
        <row r="76">
          <cell r="A76" t="str">
            <v>14 College Road</v>
          </cell>
          <cell r="D76" t="str">
            <v>E075</v>
          </cell>
        </row>
        <row r="77">
          <cell r="A77" t="str">
            <v>9 Sardarpura</v>
          </cell>
          <cell r="D77" t="str">
            <v>E076</v>
          </cell>
        </row>
        <row r="78">
          <cell r="A78" t="str">
            <v>5 Dewali</v>
          </cell>
          <cell r="D78" t="str">
            <v>E077</v>
          </cell>
        </row>
        <row r="79">
          <cell r="A79" t="str">
            <v>18 Sanjay Place</v>
          </cell>
          <cell r="D79" t="str">
            <v>E078</v>
          </cell>
        </row>
        <row r="80">
          <cell r="A80" t="str">
            <v>2 Lanka Road</v>
          </cell>
          <cell r="D80" t="str">
            <v>E079</v>
          </cell>
        </row>
        <row r="81">
          <cell r="A81" t="str">
            <v>7 Shastri Nagar</v>
          </cell>
          <cell r="D81" t="str">
            <v>E080</v>
          </cell>
        </row>
        <row r="82">
          <cell r="A82" t="str">
            <v>20 Ferozepur Road</v>
          </cell>
          <cell r="D82" t="str">
            <v>E081</v>
          </cell>
        </row>
        <row r="83">
          <cell r="A83" t="str">
            <v>12 Lawrence Road</v>
          </cell>
          <cell r="D83" t="str">
            <v>E082</v>
          </cell>
        </row>
        <row r="84">
          <cell r="A84" t="str">
            <v>9 Model Town</v>
          </cell>
          <cell r="D84" t="str">
            <v>E083</v>
          </cell>
        </row>
        <row r="85">
          <cell r="A85" t="str">
            <v>25 Rajpur Road</v>
          </cell>
          <cell r="D85" t="str">
            <v>E084</v>
          </cell>
        </row>
        <row r="86">
          <cell r="A86" t="str">
            <v>6 The Mall</v>
          </cell>
          <cell r="D86" t="str">
            <v>E085</v>
          </cell>
        </row>
        <row r="87">
          <cell r="A87" t="str">
            <v>11 Lal Chowk</v>
          </cell>
          <cell r="D87" t="str">
            <v>E086</v>
          </cell>
        </row>
        <row r="88">
          <cell r="A88" t="str">
            <v>8 GS Road</v>
          </cell>
          <cell r="D88" t="str">
            <v>E087</v>
          </cell>
        </row>
        <row r="89">
          <cell r="A89" t="str">
            <v>3 Thangal Bazar</v>
          </cell>
          <cell r="D89" t="str">
            <v>E088</v>
          </cell>
        </row>
        <row r="90">
          <cell r="A90" t="str">
            <v>14 VIP Road</v>
          </cell>
          <cell r="D90" t="str">
            <v>E089</v>
          </cell>
        </row>
        <row r="91">
          <cell r="A91" t="str">
            <v>5 Kohima Road</v>
          </cell>
          <cell r="D91" t="str">
            <v>E090</v>
          </cell>
        </row>
        <row r="92">
          <cell r="A92" t="str">
            <v>19 Zarkawt</v>
          </cell>
          <cell r="D92" t="str">
            <v>E091</v>
          </cell>
        </row>
        <row r="93">
          <cell r="A93" t="str">
            <v>2 Aberdeen Bazaar</v>
          </cell>
          <cell r="D93" t="str">
            <v>E092</v>
          </cell>
        </row>
        <row r="94">
          <cell r="A94" t="str">
            <v>28 MG Road</v>
          </cell>
          <cell r="D94" t="str">
            <v>E093</v>
          </cell>
        </row>
        <row r="95">
          <cell r="A95" t="str">
            <v>33 Park Street</v>
          </cell>
          <cell r="D95" t="str">
            <v>E094</v>
          </cell>
        </row>
        <row r="96">
          <cell r="A96" t="str">
            <v>7 Brigade Road</v>
          </cell>
          <cell r="D96" t="str">
            <v>E095</v>
          </cell>
        </row>
        <row r="97">
          <cell r="A97" t="str">
            <v>44 Anna Salai</v>
          </cell>
          <cell r="D97" t="str">
            <v>E096</v>
          </cell>
        </row>
        <row r="98">
          <cell r="A98" t="str">
            <v>66 Marine Drive</v>
          </cell>
          <cell r="D98" t="str">
            <v>E097</v>
          </cell>
        </row>
        <row r="99">
          <cell r="A99" t="str">
            <v>12 Koregaon Park</v>
          </cell>
          <cell r="D99" t="str">
            <v>E098</v>
          </cell>
        </row>
        <row r="100">
          <cell r="A100" t="str">
            <v>9 Banjara Hills</v>
          </cell>
          <cell r="D100" t="str">
            <v>E099</v>
          </cell>
        </row>
        <row r="101">
          <cell r="A101" t="str">
            <v>5 SG Highway</v>
          </cell>
          <cell r="D101" t="str">
            <v>E100</v>
          </cell>
        </row>
        <row r="102">
          <cell r="A102" t="str">
            <v>21 Hazratganj</v>
          </cell>
          <cell r="D102" t="str">
            <v>E101</v>
          </cell>
        </row>
        <row r="103">
          <cell r="A103" t="str">
            <v>14 MI Road</v>
          </cell>
          <cell r="D103" t="str">
            <v>E102</v>
          </cell>
        </row>
        <row r="104">
          <cell r="A104" t="str">
            <v>8 Sector 17</v>
          </cell>
          <cell r="D104" t="str">
            <v>E103</v>
          </cell>
        </row>
        <row r="105">
          <cell r="A105" t="str">
            <v>20 Udyog Vihar</v>
          </cell>
          <cell r="D105" t="str">
            <v>E104</v>
          </cell>
        </row>
        <row r="106">
          <cell r="A106" t="str">
            <v>11 Sector 18</v>
          </cell>
          <cell r="D106" t="str">
            <v>E105</v>
          </cell>
        </row>
        <row r="107">
          <cell r="A107" t="str">
            <v>6 Raj Nagar</v>
          </cell>
          <cell r="D107" t="str">
            <v>E106</v>
          </cell>
        </row>
        <row r="108">
          <cell r="A108" t="str">
            <v>3 Indirapuram</v>
          </cell>
          <cell r="D108" t="str">
            <v>E107</v>
          </cell>
        </row>
        <row r="109">
          <cell r="A109" t="str">
            <v>17 Swaroop Nagar</v>
          </cell>
          <cell r="D109" t="str">
            <v>E108</v>
          </cell>
        </row>
        <row r="110">
          <cell r="A110" t="str">
            <v>9 Athwagate</v>
          </cell>
          <cell r="D110" t="str">
            <v>E109</v>
          </cell>
        </row>
        <row r="111">
          <cell r="A111" t="str">
            <v>2 Sama Road</v>
          </cell>
          <cell r="D111" t="str">
            <v>E110</v>
          </cell>
        </row>
        <row r="112">
          <cell r="A112" t="str">
            <v>12 Arera Hills</v>
          </cell>
          <cell r="D112" t="str">
            <v>E111</v>
          </cell>
        </row>
        <row r="113">
          <cell r="A113" t="str">
            <v>5 MR10 Road</v>
          </cell>
          <cell r="D113" t="str">
            <v>E112</v>
          </cell>
        </row>
        <row r="114">
          <cell r="A114" t="str">
            <v>18 Bailey Road</v>
          </cell>
          <cell r="D114" t="str">
            <v>E113</v>
          </cell>
        </row>
        <row r="115">
          <cell r="A115" t="str">
            <v>7 Doranda Road</v>
          </cell>
          <cell r="D115" t="str">
            <v>E114</v>
          </cell>
        </row>
        <row r="116">
          <cell r="A116" t="str">
            <v>4 Rasulgarh</v>
          </cell>
          <cell r="D116" t="str">
            <v>E115</v>
          </cell>
        </row>
        <row r="117">
          <cell r="A117" t="str">
            <v>10 Gandhipuram</v>
          </cell>
          <cell r="D117" t="str">
            <v>E116</v>
          </cell>
        </row>
        <row r="118">
          <cell r="A118" t="str">
            <v>6 Fort Kochi</v>
          </cell>
          <cell r="D118" t="str">
            <v>E117</v>
          </cell>
        </row>
        <row r="119">
          <cell r="A119" t="str">
            <v>21 Pattom</v>
          </cell>
          <cell r="D119" t="str">
            <v>E118</v>
          </cell>
        </row>
        <row r="120">
          <cell r="A120" t="str">
            <v>8 Nazarbad Road</v>
          </cell>
          <cell r="D120" t="str">
            <v>E119</v>
          </cell>
        </row>
        <row r="121">
          <cell r="A121" t="str">
            <v>14 Dharampeth</v>
          </cell>
          <cell r="D121" t="str">
            <v>E120</v>
          </cell>
        </row>
        <row r="122">
          <cell r="A122" t="str">
            <v>3 College Road</v>
          </cell>
          <cell r="D122" t="str">
            <v>E121</v>
          </cell>
        </row>
        <row r="123">
          <cell r="A123" t="str">
            <v>11 Sardarpura</v>
          </cell>
          <cell r="D123" t="str">
            <v>E122</v>
          </cell>
        </row>
        <row r="124">
          <cell r="A124" t="str">
            <v>9 Dewali</v>
          </cell>
          <cell r="D124" t="str">
            <v>E123</v>
          </cell>
        </row>
        <row r="125">
          <cell r="A125" t="str">
            <v>6 Sanjay Place</v>
          </cell>
          <cell r="D125" t="str">
            <v>E124</v>
          </cell>
        </row>
        <row r="126">
          <cell r="A126" t="str">
            <v>22 Lanka Road</v>
          </cell>
          <cell r="D126" t="str">
            <v>E125</v>
          </cell>
        </row>
        <row r="127">
          <cell r="A127" t="str">
            <v>5 Shastri Nagar</v>
          </cell>
          <cell r="D127" t="str">
            <v>E126</v>
          </cell>
        </row>
        <row r="128">
          <cell r="A128" t="str">
            <v>18 Ferozepur Road</v>
          </cell>
          <cell r="D128" t="str">
            <v>E127</v>
          </cell>
        </row>
        <row r="129">
          <cell r="A129" t="str">
            <v>7 Lawrence Road</v>
          </cell>
          <cell r="D129" t="str">
            <v>E128</v>
          </cell>
        </row>
        <row r="130">
          <cell r="A130" t="str">
            <v>4 Model Town</v>
          </cell>
          <cell r="D130" t="str">
            <v>E129</v>
          </cell>
        </row>
        <row r="131">
          <cell r="A131" t="str">
            <v>12 Rajpur Road</v>
          </cell>
          <cell r="D131" t="str">
            <v>E130</v>
          </cell>
        </row>
        <row r="132">
          <cell r="A132" t="str">
            <v>2 The Mall</v>
          </cell>
          <cell r="D132" t="str">
            <v>E131</v>
          </cell>
        </row>
        <row r="133">
          <cell r="A133" t="str">
            <v>9 Lal Chowk</v>
          </cell>
          <cell r="D133" t="str">
            <v>E132</v>
          </cell>
        </row>
        <row r="134">
          <cell r="A134" t="str">
            <v>16 GS Road</v>
          </cell>
          <cell r="D134" t="str">
            <v>E133</v>
          </cell>
        </row>
        <row r="135">
          <cell r="A135" t="str">
            <v>5 Thangal Bazar</v>
          </cell>
          <cell r="D135" t="str">
            <v>E134</v>
          </cell>
        </row>
        <row r="136">
          <cell r="A136" t="str">
            <v>11 VIP Road</v>
          </cell>
          <cell r="D136" t="str">
            <v>E135</v>
          </cell>
        </row>
        <row r="137">
          <cell r="A137" t="str">
            <v>8 Kohima Road</v>
          </cell>
          <cell r="D137" t="str">
            <v>E136</v>
          </cell>
        </row>
        <row r="138">
          <cell r="A138" t="str">
            <v>3 Zarkawt</v>
          </cell>
          <cell r="D138" t="str">
            <v>E137</v>
          </cell>
        </row>
        <row r="139">
          <cell r="A139" t="str">
            <v>14 Aberdeen Bazaar</v>
          </cell>
          <cell r="D139" t="str">
            <v>E138</v>
          </cell>
        </row>
        <row r="140">
          <cell r="A140" t="str">
            <v>10 MG Road</v>
          </cell>
          <cell r="D140" t="str">
            <v>E139</v>
          </cell>
        </row>
        <row r="141">
          <cell r="A141" t="str">
            <v>26 Park Street</v>
          </cell>
          <cell r="D141" t="str">
            <v>E140</v>
          </cell>
        </row>
        <row r="142">
          <cell r="A142" t="str">
            <v>4 Brigade Road</v>
          </cell>
          <cell r="D142" t="str">
            <v>E141</v>
          </cell>
        </row>
        <row r="143">
          <cell r="A143" t="str">
            <v>19 Anna Salai</v>
          </cell>
          <cell r="D143" t="str">
            <v>E142</v>
          </cell>
        </row>
        <row r="144">
          <cell r="A144" t="str">
            <v>33 Marine Drive</v>
          </cell>
          <cell r="D144" t="str">
            <v>E143</v>
          </cell>
        </row>
        <row r="145">
          <cell r="A145" t="str">
            <v>15 Koregaon Park</v>
          </cell>
          <cell r="D145" t="str">
            <v>E144</v>
          </cell>
        </row>
        <row r="146">
          <cell r="A146" t="str">
            <v>6 Banjara Hills</v>
          </cell>
          <cell r="D146" t="str">
            <v>E145</v>
          </cell>
        </row>
        <row r="147">
          <cell r="A147" t="str">
            <v>9 CG Road</v>
          </cell>
          <cell r="D147" t="str">
            <v>E146</v>
          </cell>
        </row>
        <row r="148">
          <cell r="A148" t="str">
            <v>12 Hazratganj</v>
          </cell>
          <cell r="D148" t="str">
            <v>E147</v>
          </cell>
        </row>
        <row r="149">
          <cell r="A149" t="str">
            <v>8 MI Road</v>
          </cell>
          <cell r="D149" t="str">
            <v>E148</v>
          </cell>
        </row>
        <row r="150">
          <cell r="A150" t="str">
            <v>21 Sector 17</v>
          </cell>
          <cell r="D150" t="str">
            <v>E149</v>
          </cell>
        </row>
        <row r="151">
          <cell r="A151" t="str">
            <v>5 Udyog Vihar</v>
          </cell>
          <cell r="D151" t="str">
            <v>E150</v>
          </cell>
        </row>
        <row r="152">
          <cell r="A152" t="str">
            <v>17 Sector 18</v>
          </cell>
          <cell r="D152" t="str">
            <v>E151</v>
          </cell>
        </row>
        <row r="153">
          <cell r="A153" t="str">
            <v>3 Raj Nagar</v>
          </cell>
          <cell r="D153" t="str">
            <v>E152</v>
          </cell>
        </row>
        <row r="154">
          <cell r="A154" t="str">
            <v>11 Indirapuram</v>
          </cell>
          <cell r="D154" t="str">
            <v>E153</v>
          </cell>
        </row>
        <row r="155">
          <cell r="A155" t="str">
            <v>6 Swaroop Nagar</v>
          </cell>
          <cell r="D155" t="str">
            <v>E154</v>
          </cell>
        </row>
        <row r="156">
          <cell r="A156" t="str">
            <v>9 Athwagate</v>
          </cell>
          <cell r="D156" t="str">
            <v>E155</v>
          </cell>
        </row>
        <row r="157">
          <cell r="A157" t="str">
            <v>14 Sama Road</v>
          </cell>
          <cell r="D157" t="str">
            <v>E156</v>
          </cell>
        </row>
        <row r="158">
          <cell r="A158" t="str">
            <v>7 Arera Hills</v>
          </cell>
          <cell r="D158" t="str">
            <v>E157</v>
          </cell>
        </row>
        <row r="159">
          <cell r="A159" t="str">
            <v>10 MR10 Road</v>
          </cell>
          <cell r="D159" t="str">
            <v>E158</v>
          </cell>
        </row>
        <row r="160">
          <cell r="A160" t="str">
            <v>2 Bailey Road</v>
          </cell>
          <cell r="D160" t="str">
            <v>E159</v>
          </cell>
        </row>
        <row r="161">
          <cell r="A161" t="str">
            <v>8 Doranda Road</v>
          </cell>
          <cell r="D161" t="str">
            <v>E160</v>
          </cell>
        </row>
        <row r="162">
          <cell r="A162" t="str">
            <v>13 Rasulgarh</v>
          </cell>
          <cell r="D162" t="str">
            <v>E161</v>
          </cell>
        </row>
        <row r="163">
          <cell r="A163" t="str">
            <v>5 Gandhipuram</v>
          </cell>
          <cell r="D163" t="str">
            <v>E162</v>
          </cell>
        </row>
        <row r="164">
          <cell r="A164" t="str">
            <v>6 Fort Kochi</v>
          </cell>
          <cell r="D164" t="str">
            <v>E163</v>
          </cell>
        </row>
        <row r="165">
          <cell r="A165" t="str">
            <v>18 Pattom</v>
          </cell>
          <cell r="D165" t="str">
            <v>E164</v>
          </cell>
        </row>
        <row r="166">
          <cell r="A166" t="str">
            <v>9 Nazarbad Road</v>
          </cell>
          <cell r="D166" t="str">
            <v>E165</v>
          </cell>
        </row>
        <row r="167">
          <cell r="A167" t="str">
            <v>12 Dharampeth</v>
          </cell>
          <cell r="D167" t="str">
            <v>E166</v>
          </cell>
        </row>
        <row r="168">
          <cell r="A168" t="str">
            <v>4 College Road</v>
          </cell>
          <cell r="D168" t="str">
            <v>E167</v>
          </cell>
        </row>
        <row r="169">
          <cell r="A169" t="str">
            <v>7 Sardarpura</v>
          </cell>
          <cell r="D169" t="str">
            <v>E168</v>
          </cell>
        </row>
        <row r="170">
          <cell r="A170" t="str">
            <v>16 Dewali</v>
          </cell>
          <cell r="D170" t="str">
            <v>E169</v>
          </cell>
        </row>
        <row r="171">
          <cell r="A171" t="str">
            <v>10 Sanjay Place</v>
          </cell>
          <cell r="D171" t="str">
            <v>E170</v>
          </cell>
        </row>
        <row r="172">
          <cell r="A172" t="str">
            <v>2 Lanka Road</v>
          </cell>
          <cell r="D172" t="str">
            <v>E171</v>
          </cell>
        </row>
        <row r="173">
          <cell r="A173" t="str">
            <v>14 Shastri Nagar</v>
          </cell>
          <cell r="D173" t="str">
            <v>E172</v>
          </cell>
        </row>
        <row r="174">
          <cell r="A174" t="str">
            <v>11 Ferozepur Road</v>
          </cell>
          <cell r="D174" t="str">
            <v>E173</v>
          </cell>
        </row>
        <row r="175">
          <cell r="A175" t="str">
            <v>6 Lawrence Road</v>
          </cell>
          <cell r="D175" t="str">
            <v>E174</v>
          </cell>
        </row>
        <row r="176">
          <cell r="A176" t="str">
            <v>8 Model Town</v>
          </cell>
          <cell r="D176" t="str">
            <v>E175</v>
          </cell>
        </row>
        <row r="177">
          <cell r="A177" t="str">
            <v>20 Rajpur Road</v>
          </cell>
          <cell r="D177" t="str">
            <v>E176</v>
          </cell>
        </row>
        <row r="178">
          <cell r="A178" t="str">
            <v>3 The Mall</v>
          </cell>
          <cell r="D178" t="str">
            <v>E177</v>
          </cell>
        </row>
        <row r="179">
          <cell r="A179" t="str">
            <v>9 Lal Chowk</v>
          </cell>
          <cell r="D179" t="str">
            <v>E178</v>
          </cell>
        </row>
        <row r="180">
          <cell r="A180" t="str">
            <v>5 GS Road</v>
          </cell>
          <cell r="D180" t="str">
            <v>E179</v>
          </cell>
        </row>
        <row r="181">
          <cell r="A181" t="str">
            <v>12 Thangal Bazar</v>
          </cell>
          <cell r="D181" t="str">
            <v>E180</v>
          </cell>
        </row>
        <row r="182">
          <cell r="A182" t="str">
            <v>7 VIP Road</v>
          </cell>
          <cell r="D182" t="str">
            <v>E181</v>
          </cell>
        </row>
        <row r="183">
          <cell r="A183" t="str">
            <v>4 Kohima Road</v>
          </cell>
          <cell r="D183" t="str">
            <v>E182</v>
          </cell>
        </row>
        <row r="184">
          <cell r="A184" t="str">
            <v>15 Zarkawt</v>
          </cell>
          <cell r="D184" t="str">
            <v>E183</v>
          </cell>
        </row>
        <row r="185">
          <cell r="A185" t="str">
            <v>6 Aberdeen Bazaar</v>
          </cell>
          <cell r="D185" t="str">
            <v>E184</v>
          </cell>
        </row>
        <row r="186">
          <cell r="A186" t="str">
            <v>21 MG Road</v>
          </cell>
          <cell r="D186" t="str">
            <v>E185</v>
          </cell>
        </row>
        <row r="187">
          <cell r="A187" t="str">
            <v>28 Park Street</v>
          </cell>
          <cell r="D187" t="str">
            <v>E186</v>
          </cell>
        </row>
        <row r="188">
          <cell r="A188" t="str">
            <v>10 Brigade Road</v>
          </cell>
          <cell r="D188" t="str">
            <v>E187</v>
          </cell>
        </row>
        <row r="189">
          <cell r="A189" t="str">
            <v>17 Anna Salai</v>
          </cell>
          <cell r="D189" t="str">
            <v>E188</v>
          </cell>
        </row>
        <row r="190">
          <cell r="A190" t="str">
            <v>13 Marine Drive</v>
          </cell>
          <cell r="D190" t="str">
            <v>E189</v>
          </cell>
        </row>
        <row r="191">
          <cell r="A191" t="str">
            <v>8 Koregaon Park</v>
          </cell>
          <cell r="D191" t="str">
            <v>E190</v>
          </cell>
        </row>
        <row r="192">
          <cell r="A192" t="str">
            <v>6 Banjara Hills</v>
          </cell>
          <cell r="D192" t="str">
            <v>E191</v>
          </cell>
        </row>
        <row r="193">
          <cell r="A193" t="str">
            <v>19 CG Road</v>
          </cell>
          <cell r="D193" t="str">
            <v>E192</v>
          </cell>
        </row>
        <row r="194">
          <cell r="A194" t="str">
            <v>11 Hazratganj</v>
          </cell>
          <cell r="D194" t="str">
            <v>E193</v>
          </cell>
        </row>
        <row r="195">
          <cell r="A195" t="str">
            <v>5 MI Road</v>
          </cell>
          <cell r="D195" t="str">
            <v>E194</v>
          </cell>
        </row>
        <row r="196">
          <cell r="A196" t="str">
            <v>14 Sector 17</v>
          </cell>
          <cell r="D196" t="str">
            <v>E195</v>
          </cell>
        </row>
        <row r="197">
          <cell r="A197" t="str">
            <v>9 Udyog Vihar</v>
          </cell>
          <cell r="D197" t="str">
            <v>E196</v>
          </cell>
        </row>
        <row r="198">
          <cell r="A198" t="str">
            <v>4 Sector 18</v>
          </cell>
          <cell r="D198" t="str">
            <v>E197</v>
          </cell>
        </row>
        <row r="199">
          <cell r="A199" t="str">
            <v>2 Raj Nagar</v>
          </cell>
          <cell r="D199" t="str">
            <v>E198</v>
          </cell>
        </row>
        <row r="200">
          <cell r="A200" t="str">
            <v>13 Indirapuram</v>
          </cell>
          <cell r="D200" t="str">
            <v>E199</v>
          </cell>
        </row>
        <row r="201">
          <cell r="A201" t="str">
            <v>7 Swaroop Nagar</v>
          </cell>
          <cell r="D201" t="str">
            <v>E200</v>
          </cell>
        </row>
      </sheetData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E3692E-8C95-4303-8BDD-11203BF72435}" name="Table15" displayName="Table15" ref="A1:F201" totalsRowShown="0" headerRowDxfId="9" headerRowBorderDxfId="7" tableBorderDxfId="8" totalsRowBorderDxfId="6">
  <autoFilter ref="A1:F201" xr:uid="{3B872329-ADED-49AF-8DE0-89EE4507EFF8}"/>
  <tableColumns count="6">
    <tableColumn id="1" xr3:uid="{B24434C6-5BA1-4B7D-9AFD-7D4CAE8ADCA8}" name="EmpID" dataDxfId="5"/>
    <tableColumn id="2" xr3:uid="{9B43EEB6-AD4A-481F-A2C1-8E751366D9F6}" name="Name" dataDxfId="0">
      <calculatedColumnFormula>_xlfn.XLOOKUP(Table15[[#This Row],[EmpID]],[1]Sheet1!$A$1:$A$201,[1]Sheet1!$B$1:$B$201,"Not Found",0,-1)</calculatedColumnFormula>
    </tableColumn>
    <tableColumn id="3" xr3:uid="{03E544CA-0081-4BB9-B43A-50AE08F242BA}" name="Department" dataDxfId="4"/>
    <tableColumn id="4" xr3:uid="{47C0429C-3D98-4292-93DE-9AEA85326198}" name="Salary" dataDxfId="3"/>
    <tableColumn id="5" xr3:uid="{B0F3A324-4BFE-4D8B-B73B-9B6FF7DB9203}" name="JoinDate" dataDxfId="2"/>
    <tableColumn id="6" xr3:uid="{AEA06610-95A0-41DC-BE03-C64BFEA833CA}" name="Address" dataDxfId="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EE5ABB-3E7E-4102-AB4C-66814A109594}" name="Table13" displayName="Table13" ref="A1:F201" totalsRowShown="0" headerRowDxfId="19" headerRowBorderDxfId="17" tableBorderDxfId="18" totalsRowBorderDxfId="16">
  <autoFilter ref="A1:F201" xr:uid="{3B872329-ADED-49AF-8DE0-89EE4507EFF8}"/>
  <tableColumns count="6">
    <tableColumn id="1" xr3:uid="{C1C2F8C1-2009-40C8-B598-DD234953B850}" name="EmpID" dataDxfId="15"/>
    <tableColumn id="2" xr3:uid="{17AB82B6-CD80-4EC3-86A5-4233A5F3D56D}" name="Name" dataDxfId="11">
      <calculatedColumnFormula>_xlfn.XLOOKUP(Table13[[#This Row],[EmpID]],[1]Sheet1!$A$1:$A$201,[1]Sheet1!$B$1:$B$201,"Data Not Found",0)</calculatedColumnFormula>
    </tableColumn>
    <tableColumn id="3" xr3:uid="{23FB069E-100C-4223-BBA9-CE054064ECAC}" name="Department" dataDxfId="14"/>
    <tableColumn id="4" xr3:uid="{9C8F3F77-5992-4A0F-ABC6-F491F7C56936}" name="Salary" dataDxfId="13"/>
    <tableColumn id="5" xr3:uid="{81DD1DC8-7610-4B51-AA7D-9FD9FA910EB8}" name="JoinDate" dataDxfId="12"/>
    <tableColumn id="6" xr3:uid="{73878B85-5A6B-4912-85B8-C06639CB6B97}" name="Address" dataDxfId="10">
      <calculatedColumnFormula>_xlfn.XLOOKUP(Table13[[#This Row],[EmpID]],'[1]Sheet5 (2)'!$D$1:$D$201,'[1]Sheet5 (2)'!$A$1:$A$201,"Data Not Found",0)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72329-ADED-49AF-8DE0-89EE4507EFF8}" name="Table1" displayName="Table1" ref="A1:F201" totalsRowShown="0" headerRowDxfId="29" headerRowBorderDxfId="28" tableBorderDxfId="27" totalsRowBorderDxfId="26">
  <autoFilter ref="A1:F201" xr:uid="{3B872329-ADED-49AF-8DE0-89EE4507EFF8}"/>
  <tableColumns count="6">
    <tableColumn id="1" xr3:uid="{98BBD4E3-A2A5-4A3A-B942-A08922960BE5}" name="EmpID" dataDxfId="25"/>
    <tableColumn id="2" xr3:uid="{A69F2FB3-25AE-47D4-B96D-827D84265526}" name="Name" dataDxfId="24"/>
    <tableColumn id="3" xr3:uid="{CB00393B-04D0-4B38-AC19-59BEDBE91B73}" name="Department" dataDxfId="23"/>
    <tableColumn id="4" xr3:uid="{9943D693-6C81-44DA-BEC8-54A7AFC9EC1B}" name="Salary" dataDxfId="22"/>
    <tableColumn id="5" xr3:uid="{024215A6-BCE9-4191-A152-7B4D087594C9}" name="JoinDate" dataDxfId="21"/>
    <tableColumn id="6" xr3:uid="{7FC1D077-4EC9-486A-9D94-AF674106B375}" name="Address" dataDxfId="2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067F-33F9-4CE5-A7CC-A76475E9A800}">
  <dimension ref="A1:F201"/>
  <sheetViews>
    <sheetView tabSelected="1" zoomScale="130" zoomScaleNormal="130" workbookViewId="0">
      <selection activeCell="C12" sqref="C12"/>
    </sheetView>
  </sheetViews>
  <sheetFormatPr defaultRowHeight="14.4" x14ac:dyDescent="0.3"/>
  <cols>
    <col min="1" max="1" width="12.21875" customWidth="1"/>
    <col min="2" max="2" width="15.77734375" customWidth="1"/>
    <col min="3" max="3" width="16.33203125" customWidth="1"/>
    <col min="4" max="4" width="11.88671875" customWidth="1"/>
    <col min="5" max="5" width="17.109375" bestFit="1" customWidth="1"/>
    <col min="6" max="6" width="17.109375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205</v>
      </c>
    </row>
    <row r="2" spans="1:6" x14ac:dyDescent="0.3">
      <c r="A2" s="2" t="s">
        <v>5</v>
      </c>
      <c r="B2" s="1" t="str">
        <f>_xlfn.XLOOKUP(Table15[[#This Row],[EmpID]],[1]Sheet1!$A$1:$A$201,[1]Sheet1!$B$1:$B$201,"Not Found",0,-1)</f>
        <v>Aarav Sharma</v>
      </c>
      <c r="C2" s="1"/>
      <c r="D2" s="1"/>
      <c r="E2" s="8"/>
      <c r="F2" s="10"/>
    </row>
    <row r="3" spans="1:6" x14ac:dyDescent="0.3">
      <c r="A3" s="2" t="s">
        <v>6</v>
      </c>
      <c r="B3" s="1" t="str">
        <f>_xlfn.XLOOKUP(Table15[[#This Row],[EmpID]],[1]Sheet1!$A$1:$A$201,[1]Sheet1!$B$1:$B$201,"Not Found",0,-1)</f>
        <v>Ananya Verma</v>
      </c>
      <c r="C3" s="1"/>
      <c r="D3" s="1"/>
      <c r="E3" s="8"/>
      <c r="F3" s="1"/>
    </row>
    <row r="4" spans="1:6" x14ac:dyDescent="0.3">
      <c r="A4" s="2" t="s">
        <v>7</v>
      </c>
      <c r="B4" s="1" t="str">
        <f>_xlfn.XLOOKUP(Table15[[#This Row],[EmpID]],[1]Sheet1!$A$1:$A$201,[1]Sheet1!$B$1:$B$201,"Not Found",0,-1)</f>
        <v>Arjun Patel</v>
      </c>
      <c r="C4" s="1"/>
      <c r="D4" s="1"/>
      <c r="E4" s="8"/>
      <c r="F4" s="1"/>
    </row>
    <row r="5" spans="1:6" x14ac:dyDescent="0.3">
      <c r="A5" s="2" t="s">
        <v>8</v>
      </c>
      <c r="B5" s="1" t="str">
        <f>_xlfn.XLOOKUP(Table15[[#This Row],[EmpID]],[1]Sheet1!$A$1:$A$201,[1]Sheet1!$B$1:$B$201,"Not Found",0,-1)</f>
        <v>Divya Kapoor</v>
      </c>
      <c r="C5" s="1"/>
      <c r="D5" s="1"/>
      <c r="E5" s="8"/>
      <c r="F5" s="1"/>
    </row>
    <row r="6" spans="1:6" ht="12" customHeight="1" x14ac:dyDescent="0.3">
      <c r="A6" s="2" t="s">
        <v>9</v>
      </c>
      <c r="B6" s="1" t="str">
        <f>_xlfn.XLOOKUP(Table15[[#This Row],[EmpID]],[1]Sheet1!$A$1:$A$201,[1]Sheet1!$B$1:$B$201,"Not Found",0,-1)</f>
        <v>Rohan Mehta</v>
      </c>
      <c r="C6" s="1"/>
      <c r="D6" s="1"/>
      <c r="E6" s="8"/>
      <c r="F6" s="1"/>
    </row>
    <row r="7" spans="1:6" x14ac:dyDescent="0.3">
      <c r="A7" s="2" t="s">
        <v>10</v>
      </c>
      <c r="B7" s="1" t="str">
        <f>_xlfn.XLOOKUP(Table15[[#This Row],[EmpID]],[1]Sheet1!$A$1:$A$201,[1]Sheet1!$B$1:$B$201,"Not Found",0,-1)</f>
        <v>Neha Singh</v>
      </c>
      <c r="C7" s="1"/>
      <c r="D7" s="1"/>
      <c r="E7" s="8"/>
      <c r="F7" s="1"/>
    </row>
    <row r="8" spans="1:6" x14ac:dyDescent="0.3">
      <c r="A8" s="2" t="s">
        <v>11</v>
      </c>
      <c r="B8" s="1" t="str">
        <f>_xlfn.XLOOKUP(Table15[[#This Row],[EmpID]],[1]Sheet1!$A$1:$A$201,[1]Sheet1!$B$1:$B$201,"Not Found",0,-1)</f>
        <v>Vikram Rao</v>
      </c>
      <c r="C8" s="1"/>
      <c r="D8" s="1"/>
      <c r="E8" s="8"/>
      <c r="F8" s="1"/>
    </row>
    <row r="9" spans="1:6" x14ac:dyDescent="0.3">
      <c r="A9" s="2" t="s">
        <v>12</v>
      </c>
      <c r="B9" s="1" t="str">
        <f>_xlfn.XLOOKUP(Table15[[#This Row],[EmpID]],[1]Sheet1!$A$1:$A$201,[1]Sheet1!$B$1:$B$201,"Not Found",0,-1)</f>
        <v>Simran Kaur</v>
      </c>
      <c r="C9" s="1"/>
      <c r="D9" s="1"/>
      <c r="E9" s="8"/>
      <c r="F9" s="1"/>
    </row>
    <row r="10" spans="1:6" x14ac:dyDescent="0.3">
      <c r="A10" s="2" t="s">
        <v>13</v>
      </c>
      <c r="B10" s="1" t="str">
        <f>_xlfn.XLOOKUP(Table15[[#This Row],[EmpID]],[1]Sheet1!$A$1:$A$201,[1]Sheet1!$B$1:$B$201,"Not Found",0,-1)</f>
        <v>Sameer Kulkarni</v>
      </c>
      <c r="C10" s="1"/>
      <c r="D10" s="1"/>
      <c r="E10" s="8"/>
      <c r="F10" s="1"/>
    </row>
    <row r="11" spans="1:6" x14ac:dyDescent="0.3">
      <c r="A11" s="2" t="s">
        <v>14</v>
      </c>
      <c r="B11" s="1" t="str">
        <f>_xlfn.XLOOKUP(Table15[[#This Row],[EmpID]],[1]Sheet1!$A$1:$A$201,[1]Sheet1!$B$1:$B$201,"Not Found",0,-1)</f>
        <v>Priya Nair</v>
      </c>
      <c r="C11" s="1"/>
      <c r="D11" s="1"/>
      <c r="E11" s="8"/>
      <c r="F11" s="1"/>
    </row>
    <row r="12" spans="1:6" x14ac:dyDescent="0.3">
      <c r="A12" s="2" t="s">
        <v>15</v>
      </c>
      <c r="B12" s="1" t="str">
        <f>_xlfn.XLOOKUP(Table15[[#This Row],[EmpID]],[1]Sheet1!$A$1:$A$201,[1]Sheet1!$B$1:$B$201,"Not Found",0,-1)</f>
        <v>Kunal Joshi</v>
      </c>
      <c r="C12" s="1"/>
      <c r="D12" s="1"/>
      <c r="E12" s="8"/>
      <c r="F12" s="1"/>
    </row>
    <row r="13" spans="1:6" x14ac:dyDescent="0.3">
      <c r="A13" s="2" t="s">
        <v>16</v>
      </c>
      <c r="B13" s="1" t="str">
        <f>_xlfn.XLOOKUP(Table15[[#This Row],[EmpID]],[1]Sheet1!$A$1:$A$201,[1]Sheet1!$B$1:$B$201,"Not Found",0,-1)</f>
        <v>Sana Iqbal</v>
      </c>
      <c r="C13" s="1"/>
      <c r="D13" s="1"/>
      <c r="E13" s="8"/>
      <c r="F13" s="1"/>
    </row>
    <row r="14" spans="1:6" x14ac:dyDescent="0.3">
      <c r="A14" s="2" t="s">
        <v>17</v>
      </c>
      <c r="B14" s="1" t="str">
        <f>_xlfn.XLOOKUP(Table15[[#This Row],[EmpID]],[1]Sheet1!$A$1:$A$201,[1]Sheet1!$B$1:$B$201,"Not Found",0,-1)</f>
        <v>Aditya Reddy</v>
      </c>
      <c r="C14" s="1"/>
      <c r="D14" s="1"/>
      <c r="E14" s="8"/>
      <c r="F14" s="1"/>
    </row>
    <row r="15" spans="1:6" x14ac:dyDescent="0.3">
      <c r="A15" s="2" t="s">
        <v>18</v>
      </c>
      <c r="B15" s="1" t="str">
        <f>_xlfn.XLOOKUP(Table15[[#This Row],[EmpID]],[1]Sheet1!$A$1:$A$201,[1]Sheet1!$B$1:$B$201,"Not Found",0,-1)</f>
        <v>Meera Chawla</v>
      </c>
      <c r="C15" s="1"/>
      <c r="D15" s="1"/>
      <c r="E15" s="8"/>
      <c r="F15" s="1"/>
    </row>
    <row r="16" spans="1:6" x14ac:dyDescent="0.3">
      <c r="A16" s="2" t="s">
        <v>19</v>
      </c>
      <c r="B16" s="1" t="str">
        <f>_xlfn.XLOOKUP(Table15[[#This Row],[EmpID]],[1]Sheet1!$A$1:$A$201,[1]Sheet1!$B$1:$B$201,"Not Found",0,-1)</f>
        <v>Harsh Malhotra</v>
      </c>
      <c r="C16" s="1"/>
      <c r="D16" s="1"/>
      <c r="E16" s="8"/>
      <c r="F16" s="1"/>
    </row>
    <row r="17" spans="1:6" x14ac:dyDescent="0.3">
      <c r="A17" s="2" t="s">
        <v>20</v>
      </c>
      <c r="B17" s="1" t="str">
        <f>_xlfn.XLOOKUP(Table15[[#This Row],[EmpID]],[1]Sheet1!$A$1:$A$201,[1]Sheet1!$B$1:$B$201,"Not Found",0,-1)</f>
        <v>Anika Desai</v>
      </c>
      <c r="C17" s="1"/>
      <c r="D17" s="1"/>
      <c r="E17" s="8"/>
      <c r="F17" s="1"/>
    </row>
    <row r="18" spans="1:6" x14ac:dyDescent="0.3">
      <c r="A18" s="2" t="s">
        <v>21</v>
      </c>
      <c r="B18" s="1" t="str">
        <f>_xlfn.XLOOKUP(Table15[[#This Row],[EmpID]],[1]Sheet1!$A$1:$A$201,[1]Sheet1!$B$1:$B$201,"Not Found",0,-1)</f>
        <v>Prateek Bhat</v>
      </c>
      <c r="C18" s="1"/>
      <c r="D18" s="1"/>
      <c r="E18" s="8"/>
      <c r="F18" s="1"/>
    </row>
    <row r="19" spans="1:6" x14ac:dyDescent="0.3">
      <c r="A19" s="2" t="s">
        <v>22</v>
      </c>
      <c r="B19" s="1" t="str">
        <f>_xlfn.XLOOKUP(Table15[[#This Row],[EmpID]],[1]Sheet1!$A$1:$A$201,[1]Sheet1!$B$1:$B$201,"Not Found",0,-1)</f>
        <v>Shreya Ghosh</v>
      </c>
      <c r="C19" s="1"/>
      <c r="D19" s="1"/>
      <c r="E19" s="8"/>
      <c r="F19" s="1"/>
    </row>
    <row r="20" spans="1:6" x14ac:dyDescent="0.3">
      <c r="A20" s="2" t="s">
        <v>23</v>
      </c>
      <c r="B20" s="1" t="str">
        <f>_xlfn.XLOOKUP(Table15[[#This Row],[EmpID]],[1]Sheet1!$A$1:$A$201,[1]Sheet1!$B$1:$B$201,"Not Found",0,-1)</f>
        <v>Manish Sinha</v>
      </c>
      <c r="C20" s="1"/>
      <c r="D20" s="1"/>
      <c r="E20" s="8"/>
      <c r="F20" s="1"/>
    </row>
    <row r="21" spans="1:6" x14ac:dyDescent="0.3">
      <c r="A21" s="2" t="s">
        <v>24</v>
      </c>
      <c r="B21" s="1" t="str">
        <f>_xlfn.XLOOKUP(Table15[[#This Row],[EmpID]],[1]Sheet1!$A$1:$A$201,[1]Sheet1!$B$1:$B$201,"Not Found",0,-1)</f>
        <v>Alisha Menon</v>
      </c>
      <c r="C21" s="1"/>
      <c r="D21" s="1"/>
      <c r="E21" s="8"/>
      <c r="F21" s="1"/>
    </row>
    <row r="22" spans="1:6" x14ac:dyDescent="0.3">
      <c r="A22" s="2" t="s">
        <v>25</v>
      </c>
      <c r="B22" s="1" t="str">
        <f>_xlfn.XLOOKUP(Table15[[#This Row],[EmpID]],[1]Sheet1!$A$1:$A$201,[1]Sheet1!$B$1:$B$201,"Not Found",0,-1)</f>
        <v>Varun Gupta</v>
      </c>
      <c r="C22" s="1"/>
      <c r="D22" s="1"/>
      <c r="E22" s="8"/>
      <c r="F22" s="1"/>
    </row>
    <row r="23" spans="1:6" x14ac:dyDescent="0.3">
      <c r="A23" s="2" t="s">
        <v>26</v>
      </c>
      <c r="B23" s="1" t="str">
        <f>_xlfn.XLOOKUP(Table15[[#This Row],[EmpID]],[1]Sheet1!$A$1:$A$201,[1]Sheet1!$B$1:$B$201,"Not Found",0,-1)</f>
        <v>Ritika Sharma</v>
      </c>
      <c r="C23" s="1"/>
      <c r="D23" s="1"/>
      <c r="E23" s="8"/>
      <c r="F23" s="1"/>
    </row>
    <row r="24" spans="1:6" x14ac:dyDescent="0.3">
      <c r="A24" s="2" t="s">
        <v>27</v>
      </c>
      <c r="B24" s="1" t="str">
        <f>_xlfn.XLOOKUP(Table15[[#This Row],[EmpID]],[1]Sheet1!$A$1:$A$201,[1]Sheet1!$B$1:$B$201,"Not Found",0,-1)</f>
        <v>Ankit Agarwal</v>
      </c>
      <c r="C24" s="1"/>
      <c r="D24" s="1"/>
      <c r="E24" s="8"/>
      <c r="F24" s="1"/>
    </row>
    <row r="25" spans="1:6" x14ac:dyDescent="0.3">
      <c r="A25" s="2" t="s">
        <v>28</v>
      </c>
      <c r="B25" s="1" t="str">
        <f>_xlfn.XLOOKUP(Table15[[#This Row],[EmpID]],[1]Sheet1!$A$1:$A$201,[1]Sheet1!$B$1:$B$201,"Not Found",0,-1)</f>
        <v>Deepa Nambiar</v>
      </c>
      <c r="C25" s="1"/>
      <c r="D25" s="1"/>
      <c r="E25" s="8"/>
      <c r="F25" s="1"/>
    </row>
    <row r="26" spans="1:6" x14ac:dyDescent="0.3">
      <c r="A26" s="2" t="s">
        <v>29</v>
      </c>
      <c r="B26" s="1" t="str">
        <f>_xlfn.XLOOKUP(Table15[[#This Row],[EmpID]],[1]Sheet1!$A$1:$A$201,[1]Sheet1!$B$1:$B$201,"Not Found",0,-1)</f>
        <v>Siddharth Jain</v>
      </c>
      <c r="C26" s="1"/>
      <c r="D26" s="1"/>
      <c r="E26" s="8"/>
      <c r="F26" s="1"/>
    </row>
    <row r="27" spans="1:6" x14ac:dyDescent="0.3">
      <c r="A27" s="2" t="s">
        <v>30</v>
      </c>
      <c r="B27" s="1" t="str">
        <f>_xlfn.XLOOKUP(Table15[[#This Row],[EmpID]],[1]Sheet1!$A$1:$A$201,[1]Sheet1!$B$1:$B$201,"Not Found",0,-1)</f>
        <v>Karishma Bhatt</v>
      </c>
      <c r="C27" s="1"/>
      <c r="D27" s="1"/>
      <c r="E27" s="8"/>
      <c r="F27" s="1"/>
    </row>
    <row r="28" spans="1:6" x14ac:dyDescent="0.3">
      <c r="A28" s="2" t="s">
        <v>31</v>
      </c>
      <c r="B28" s="1" t="str">
        <f>_xlfn.XLOOKUP(Table15[[#This Row],[EmpID]],[1]Sheet1!$A$1:$A$201,[1]Sheet1!$B$1:$B$201,"Not Found",0,-1)</f>
        <v>Nikhil Kapoor</v>
      </c>
      <c r="C28" s="1"/>
      <c r="D28" s="1"/>
      <c r="E28" s="8"/>
      <c r="F28" s="1"/>
    </row>
    <row r="29" spans="1:6" x14ac:dyDescent="0.3">
      <c r="A29" s="2" t="s">
        <v>32</v>
      </c>
      <c r="B29" s="1" t="str">
        <f>_xlfn.XLOOKUP(Table15[[#This Row],[EmpID]],[1]Sheet1!$A$1:$A$201,[1]Sheet1!$B$1:$B$201,"Not Found",0,-1)</f>
        <v>Rekha Pillai</v>
      </c>
      <c r="C29" s="1"/>
      <c r="D29" s="1"/>
      <c r="E29" s="8"/>
      <c r="F29" s="1"/>
    </row>
    <row r="30" spans="1:6" x14ac:dyDescent="0.3">
      <c r="A30" s="2" t="s">
        <v>33</v>
      </c>
      <c r="B30" s="1" t="str">
        <f>_xlfn.XLOOKUP(Table15[[#This Row],[EmpID]],[1]Sheet1!$A$1:$A$201,[1]Sheet1!$B$1:$B$201,"Not Found",0,-1)</f>
        <v>Pranav Dutta</v>
      </c>
      <c r="C30" s="1"/>
      <c r="D30" s="1"/>
      <c r="E30" s="8"/>
      <c r="F30" s="1"/>
    </row>
    <row r="31" spans="1:6" x14ac:dyDescent="0.3">
      <c r="A31" s="2" t="s">
        <v>34</v>
      </c>
      <c r="B31" s="1" t="str">
        <f>_xlfn.XLOOKUP(Table15[[#This Row],[EmpID]],[1]Sheet1!$A$1:$A$201,[1]Sheet1!$B$1:$B$201,"Not Found",0,-1)</f>
        <v>Anushka Roy</v>
      </c>
      <c r="C31" s="1"/>
      <c r="D31" s="1"/>
      <c r="E31" s="8"/>
      <c r="F31" s="1"/>
    </row>
    <row r="32" spans="1:6" x14ac:dyDescent="0.3">
      <c r="A32" s="2" t="s">
        <v>35</v>
      </c>
      <c r="B32" s="1" t="str">
        <f>_xlfn.XLOOKUP(Table15[[#This Row],[EmpID]],[1]Sheet1!$A$1:$A$201,[1]Sheet1!$B$1:$B$201,"Not Found",0,-1)</f>
        <v>Rajiv Menon</v>
      </c>
      <c r="C32" s="1"/>
      <c r="D32" s="1"/>
      <c r="E32" s="8"/>
      <c r="F32" s="1"/>
    </row>
    <row r="33" spans="1:6" x14ac:dyDescent="0.3">
      <c r="A33" s="2" t="s">
        <v>36</v>
      </c>
      <c r="B33" s="1" t="str">
        <f>_xlfn.XLOOKUP(Table15[[#This Row],[EmpID]],[1]Sheet1!$A$1:$A$201,[1]Sheet1!$B$1:$B$201,"Not Found",0,-1)</f>
        <v>Shalini Verma</v>
      </c>
      <c r="C33" s="1"/>
      <c r="D33" s="1"/>
      <c r="E33" s="8"/>
      <c r="F33" s="1"/>
    </row>
    <row r="34" spans="1:6" x14ac:dyDescent="0.3">
      <c r="A34" s="2" t="s">
        <v>37</v>
      </c>
      <c r="B34" s="1" t="str">
        <f>_xlfn.XLOOKUP(Table15[[#This Row],[EmpID]],[1]Sheet1!$A$1:$A$201,[1]Sheet1!$B$1:$B$201,"Not Found",0,-1)</f>
        <v>Mayank Sood</v>
      </c>
      <c r="C34" s="1"/>
      <c r="D34" s="1"/>
      <c r="E34" s="8"/>
      <c r="F34" s="1"/>
    </row>
    <row r="35" spans="1:6" x14ac:dyDescent="0.3">
      <c r="A35" s="2" t="s">
        <v>38</v>
      </c>
      <c r="B35" s="1" t="str">
        <f>_xlfn.XLOOKUP(Table15[[#This Row],[EmpID]],[1]Sheet1!$A$1:$A$201,[1]Sheet1!$B$1:$B$201,"Not Found",0,-1)</f>
        <v>Anu Thomas</v>
      </c>
      <c r="C35" s="1"/>
      <c r="D35" s="1"/>
      <c r="E35" s="8"/>
      <c r="F35" s="1"/>
    </row>
    <row r="36" spans="1:6" x14ac:dyDescent="0.3">
      <c r="A36" s="2" t="s">
        <v>39</v>
      </c>
      <c r="B36" s="1" t="str">
        <f>_xlfn.XLOOKUP(Table15[[#This Row],[EmpID]],[1]Sheet1!$A$1:$A$201,[1]Sheet1!$B$1:$B$201,"Not Found",0,-1)</f>
        <v>Arnav Bhattacharya</v>
      </c>
      <c r="C36" s="1"/>
      <c r="D36" s="1"/>
      <c r="E36" s="8"/>
      <c r="F36" s="1"/>
    </row>
    <row r="37" spans="1:6" x14ac:dyDescent="0.3">
      <c r="A37" s="2" t="s">
        <v>40</v>
      </c>
      <c r="B37" s="1" t="str">
        <f>_xlfn.XLOOKUP(Table15[[#This Row],[EmpID]],[1]Sheet1!$A$1:$A$201,[1]Sheet1!$B$1:$B$201,"Not Found",0,-1)</f>
        <v>Neelam Chatterjee</v>
      </c>
      <c r="C37" s="1"/>
      <c r="D37" s="1"/>
      <c r="E37" s="8"/>
      <c r="F37" s="1"/>
    </row>
    <row r="38" spans="1:6" x14ac:dyDescent="0.3">
      <c r="A38" s="2" t="s">
        <v>41</v>
      </c>
      <c r="B38" s="1" t="str">
        <f>_xlfn.XLOOKUP(Table15[[#This Row],[EmpID]],[1]Sheet1!$A$1:$A$201,[1]Sheet1!$B$1:$B$201,"Not Found",0,-1)</f>
        <v>Sameer Iyer</v>
      </c>
      <c r="C38" s="1"/>
      <c r="D38" s="1"/>
      <c r="E38" s="8"/>
      <c r="F38" s="1"/>
    </row>
    <row r="39" spans="1:6" x14ac:dyDescent="0.3">
      <c r="A39" s="2" t="s">
        <v>42</v>
      </c>
      <c r="B39" s="1" t="str">
        <f>_xlfn.XLOOKUP(Table15[[#This Row],[EmpID]],[1]Sheet1!$A$1:$A$201,[1]Sheet1!$B$1:$B$201,"Not Found",0,-1)</f>
        <v>Divya Rao</v>
      </c>
      <c r="C39" s="1"/>
      <c r="D39" s="1"/>
      <c r="E39" s="8"/>
      <c r="F39" s="1"/>
    </row>
    <row r="40" spans="1:6" x14ac:dyDescent="0.3">
      <c r="A40" s="2" t="s">
        <v>43</v>
      </c>
      <c r="B40" s="1" t="str">
        <f>_xlfn.XLOOKUP(Table15[[#This Row],[EmpID]],[1]Sheet1!$A$1:$A$201,[1]Sheet1!$B$1:$B$201,"Not Found",0,-1)</f>
        <v>Akash Nair</v>
      </c>
      <c r="C40" s="1"/>
      <c r="D40" s="1"/>
      <c r="E40" s="8"/>
      <c r="F40" s="1"/>
    </row>
    <row r="41" spans="1:6" x14ac:dyDescent="0.3">
      <c r="A41" s="2" t="s">
        <v>44</v>
      </c>
      <c r="B41" s="1" t="str">
        <f>_xlfn.XLOOKUP(Table15[[#This Row],[EmpID]],[1]Sheet1!$A$1:$A$201,[1]Sheet1!$B$1:$B$201,"Not Found",0,-1)</f>
        <v>Smita Kulkarni</v>
      </c>
      <c r="C41" s="1"/>
      <c r="D41" s="1"/>
      <c r="E41" s="8"/>
      <c r="F41" s="1"/>
    </row>
    <row r="42" spans="1:6" x14ac:dyDescent="0.3">
      <c r="A42" s="2" t="s">
        <v>45</v>
      </c>
      <c r="B42" s="1" t="str">
        <f>_xlfn.XLOOKUP(Table15[[#This Row],[EmpID]],[1]Sheet1!$A$1:$A$201,[1]Sheet1!$B$1:$B$201,"Not Found",0,-1)</f>
        <v>Anirudh Shah</v>
      </c>
      <c r="C42" s="1"/>
      <c r="D42" s="1"/>
      <c r="E42" s="8"/>
      <c r="F42" s="1"/>
    </row>
    <row r="43" spans="1:6" x14ac:dyDescent="0.3">
      <c r="A43" s="2" t="s">
        <v>46</v>
      </c>
      <c r="B43" s="1" t="str">
        <f>_xlfn.XLOOKUP(Table15[[#This Row],[EmpID]],[1]Sheet1!$A$1:$A$201,[1]Sheet1!$B$1:$B$201,"Not Found",0,-1)</f>
        <v>Parul Mehra</v>
      </c>
      <c r="C43" s="1"/>
      <c r="D43" s="1"/>
      <c r="E43" s="8"/>
      <c r="F43" s="1"/>
    </row>
    <row r="44" spans="1:6" x14ac:dyDescent="0.3">
      <c r="A44" s="2" t="s">
        <v>47</v>
      </c>
      <c r="B44" s="1" t="str">
        <f>_xlfn.XLOOKUP(Table15[[#This Row],[EmpID]],[1]Sheet1!$A$1:$A$201,[1]Sheet1!$B$1:$B$201,"Not Found",0,-1)</f>
        <v>Devansh Jain</v>
      </c>
      <c r="C44" s="1"/>
      <c r="D44" s="1"/>
      <c r="E44" s="8"/>
      <c r="F44" s="1"/>
    </row>
    <row r="45" spans="1:6" x14ac:dyDescent="0.3">
      <c r="A45" s="2" t="s">
        <v>48</v>
      </c>
      <c r="B45" s="1" t="str">
        <f>_xlfn.XLOOKUP(Table15[[#This Row],[EmpID]],[1]Sheet1!$A$1:$A$201,[1]Sheet1!$B$1:$B$201,"Not Found",0,-1)</f>
        <v>Neeta Saini</v>
      </c>
      <c r="C45" s="1"/>
      <c r="D45" s="1"/>
      <c r="E45" s="8"/>
      <c r="F45" s="1"/>
    </row>
    <row r="46" spans="1:6" x14ac:dyDescent="0.3">
      <c r="A46" s="2" t="s">
        <v>49</v>
      </c>
      <c r="B46" s="1" t="str">
        <f>_xlfn.XLOOKUP(Table15[[#This Row],[EmpID]],[1]Sheet1!$A$1:$A$201,[1]Sheet1!$B$1:$B$201,"Not Found",0,-1)</f>
        <v>Arpita Goyal</v>
      </c>
      <c r="C46" s="1"/>
      <c r="D46" s="1"/>
      <c r="E46" s="8"/>
      <c r="F46" s="1"/>
    </row>
    <row r="47" spans="1:6" x14ac:dyDescent="0.3">
      <c r="A47" s="2" t="s">
        <v>50</v>
      </c>
      <c r="B47" s="1" t="str">
        <f>_xlfn.XLOOKUP(Table15[[#This Row],[EmpID]],[1]Sheet1!$A$1:$A$201,[1]Sheet1!$B$1:$B$201,"Not Found",0,-1)</f>
        <v>Rajesh Nambiar</v>
      </c>
      <c r="C47" s="1"/>
      <c r="D47" s="1"/>
      <c r="E47" s="8"/>
      <c r="F47" s="1"/>
    </row>
    <row r="48" spans="1:6" x14ac:dyDescent="0.3">
      <c r="A48" s="2" t="s">
        <v>51</v>
      </c>
      <c r="B48" s="1" t="str">
        <f>_xlfn.XLOOKUP(Table15[[#This Row],[EmpID]],[1]Sheet1!$A$1:$A$201,[1]Sheet1!$B$1:$B$201,"Not Found",0,-1)</f>
        <v>Sunita Rao</v>
      </c>
      <c r="C48" s="1"/>
      <c r="D48" s="1"/>
      <c r="E48" s="8"/>
      <c r="F48" s="1"/>
    </row>
    <row r="49" spans="1:6" x14ac:dyDescent="0.3">
      <c r="A49" s="2" t="s">
        <v>52</v>
      </c>
      <c r="B49" s="1" t="str">
        <f>_xlfn.XLOOKUP(Table15[[#This Row],[EmpID]],[1]Sheet1!$A$1:$A$201,[1]Sheet1!$B$1:$B$201,"Not Found",0,-1)</f>
        <v>Anmol Verma</v>
      </c>
      <c r="C49" s="1"/>
      <c r="D49" s="1"/>
      <c r="E49" s="8"/>
      <c r="F49" s="1"/>
    </row>
    <row r="50" spans="1:6" x14ac:dyDescent="0.3">
      <c r="A50" s="2" t="s">
        <v>53</v>
      </c>
      <c r="B50" s="1" t="str">
        <f>_xlfn.XLOOKUP(Table15[[#This Row],[EmpID]],[1]Sheet1!$A$1:$A$201,[1]Sheet1!$B$1:$B$201,"Not Found",0,-1)</f>
        <v>Harpreet Singh</v>
      </c>
      <c r="C50" s="1"/>
      <c r="D50" s="1"/>
      <c r="E50" s="8"/>
      <c r="F50" s="1"/>
    </row>
    <row r="51" spans="1:6" x14ac:dyDescent="0.3">
      <c r="A51" s="2" t="s">
        <v>54</v>
      </c>
      <c r="B51" s="1" t="str">
        <f>_xlfn.XLOOKUP(Table15[[#This Row],[EmpID]],[1]Sheet1!$A$1:$A$201,[1]Sheet1!$B$1:$B$201,"Not Found",0,-1)</f>
        <v>Leena D'Souza</v>
      </c>
      <c r="C51" s="1"/>
      <c r="D51" s="1"/>
      <c r="E51" s="8"/>
      <c r="F51" s="1"/>
    </row>
    <row r="52" spans="1:6" x14ac:dyDescent="0.3">
      <c r="A52" s="2" t="s">
        <v>55</v>
      </c>
      <c r="B52" s="1" t="str">
        <f>_xlfn.XLOOKUP(Table15[[#This Row],[EmpID]],[1]Sheet1!$A$1:$A$201,[1]Sheet1!$B$1:$B$201,"Not Found",0,-1)</f>
        <v>Prakash Kulkarni</v>
      </c>
      <c r="C52" s="1"/>
      <c r="D52" s="1"/>
      <c r="E52" s="8"/>
      <c r="F52" s="1"/>
    </row>
    <row r="53" spans="1:6" x14ac:dyDescent="0.3">
      <c r="A53" s="2" t="s">
        <v>56</v>
      </c>
      <c r="B53" s="1" t="str">
        <f>_xlfn.XLOOKUP(Table15[[#This Row],[EmpID]],[1]Sheet1!$A$1:$A$201,[1]Sheet1!$B$1:$B$201,"Not Found",0,-1)</f>
        <v>Shweta Bansal</v>
      </c>
      <c r="C53" s="1"/>
      <c r="D53" s="1"/>
      <c r="E53" s="8"/>
      <c r="F53" s="1"/>
    </row>
    <row r="54" spans="1:6" x14ac:dyDescent="0.3">
      <c r="A54" s="2" t="s">
        <v>57</v>
      </c>
      <c r="B54" s="1" t="str">
        <f>_xlfn.XLOOKUP(Table15[[#This Row],[EmpID]],[1]Sheet1!$A$1:$A$201,[1]Sheet1!$B$1:$B$201,"Not Found",0,-1)</f>
        <v>Arjun Nair</v>
      </c>
      <c r="C54" s="1"/>
      <c r="D54" s="1"/>
      <c r="E54" s="8"/>
      <c r="F54" s="1"/>
    </row>
    <row r="55" spans="1:6" x14ac:dyDescent="0.3">
      <c r="A55" s="2" t="s">
        <v>58</v>
      </c>
      <c r="B55" s="1" t="str">
        <f>_xlfn.XLOOKUP(Table15[[#This Row],[EmpID]],[1]Sheet1!$A$1:$A$201,[1]Sheet1!$B$1:$B$201,"Not Found",0,-1)</f>
        <v>Monica Rao</v>
      </c>
      <c r="C55" s="1"/>
      <c r="D55" s="1"/>
      <c r="E55" s="8"/>
      <c r="F55" s="1"/>
    </row>
    <row r="56" spans="1:6" x14ac:dyDescent="0.3">
      <c r="A56" s="2" t="s">
        <v>59</v>
      </c>
      <c r="B56" s="1" t="str">
        <f>_xlfn.XLOOKUP(Table15[[#This Row],[EmpID]],[1]Sheet1!$A$1:$A$201,[1]Sheet1!$B$1:$B$201,"Not Found",0,-1)</f>
        <v>Vivek Sharma</v>
      </c>
      <c r="C56" s="1"/>
      <c r="D56" s="1"/>
      <c r="E56" s="8"/>
      <c r="F56" s="1"/>
    </row>
    <row r="57" spans="1:6" x14ac:dyDescent="0.3">
      <c r="A57" s="2" t="s">
        <v>60</v>
      </c>
      <c r="B57" s="1" t="str">
        <f>_xlfn.XLOOKUP(Table15[[#This Row],[EmpID]],[1]Sheet1!$A$1:$A$201,[1]Sheet1!$B$1:$B$201,"Not Found",0,-1)</f>
        <v>Rachna Kapoor</v>
      </c>
      <c r="C57" s="1"/>
      <c r="D57" s="1"/>
      <c r="E57" s="8"/>
      <c r="F57" s="1"/>
    </row>
    <row r="58" spans="1:6" x14ac:dyDescent="0.3">
      <c r="A58" s="2" t="s">
        <v>61</v>
      </c>
      <c r="B58" s="1" t="str">
        <f>_xlfn.XLOOKUP(Table15[[#This Row],[EmpID]],[1]Sheet1!$A$1:$A$201,[1]Sheet1!$B$1:$B$201,"Not Found",0,-1)</f>
        <v>Anil Deshmukh</v>
      </c>
      <c r="C58" s="1"/>
      <c r="D58" s="1"/>
      <c r="E58" s="8"/>
      <c r="F58" s="1"/>
    </row>
    <row r="59" spans="1:6" x14ac:dyDescent="0.3">
      <c r="A59" s="2" t="s">
        <v>62</v>
      </c>
      <c r="B59" s="1" t="str">
        <f>_xlfn.XLOOKUP(Table15[[#This Row],[EmpID]],[1]Sheet1!$A$1:$A$201,[1]Sheet1!$B$1:$B$201,"Not Found",0,-1)</f>
        <v>Trisha Banerjee</v>
      </c>
      <c r="C59" s="1"/>
      <c r="D59" s="1"/>
      <c r="E59" s="8"/>
      <c r="F59" s="1"/>
    </row>
    <row r="60" spans="1:6" x14ac:dyDescent="0.3">
      <c r="A60" s="2" t="s">
        <v>63</v>
      </c>
      <c r="B60" s="1" t="str">
        <f>_xlfn.XLOOKUP(Table15[[#This Row],[EmpID]],[1]Sheet1!$A$1:$A$201,[1]Sheet1!$B$1:$B$201,"Not Found",0,-1)</f>
        <v>Rajeev Menon</v>
      </c>
      <c r="C60" s="1"/>
      <c r="D60" s="1"/>
      <c r="E60" s="8"/>
      <c r="F60" s="1"/>
    </row>
    <row r="61" spans="1:6" x14ac:dyDescent="0.3">
      <c r="A61" s="2" t="s">
        <v>64</v>
      </c>
      <c r="B61" s="1" t="str">
        <f>_xlfn.XLOOKUP(Table15[[#This Row],[EmpID]],[1]Sheet1!$A$1:$A$201,[1]Sheet1!$B$1:$B$201,"Not Found",0,-1)</f>
        <v>Megha Sinha</v>
      </c>
      <c r="C61" s="1"/>
      <c r="D61" s="1"/>
      <c r="E61" s="8"/>
      <c r="F61" s="1"/>
    </row>
    <row r="62" spans="1:6" x14ac:dyDescent="0.3">
      <c r="A62" s="2" t="s">
        <v>65</v>
      </c>
      <c r="B62" s="1" t="str">
        <f>_xlfn.XLOOKUP(Table15[[#This Row],[EmpID]],[1]Sheet1!$A$1:$A$201,[1]Sheet1!$B$1:$B$201,"Not Found",0,-1)</f>
        <v>Sameer Patel</v>
      </c>
      <c r="C62" s="1"/>
      <c r="D62" s="1"/>
      <c r="E62" s="8"/>
      <c r="F62" s="1"/>
    </row>
    <row r="63" spans="1:6" x14ac:dyDescent="0.3">
      <c r="A63" s="2" t="s">
        <v>66</v>
      </c>
      <c r="B63" s="1" t="str">
        <f>_xlfn.XLOOKUP(Table15[[#This Row],[EmpID]],[1]Sheet1!$A$1:$A$201,[1]Sheet1!$B$1:$B$201,"Not Found",0,-1)</f>
        <v>Anjali Rao</v>
      </c>
      <c r="C63" s="1"/>
      <c r="D63" s="1"/>
      <c r="E63" s="8"/>
      <c r="F63" s="1"/>
    </row>
    <row r="64" spans="1:6" x14ac:dyDescent="0.3">
      <c r="A64" s="2" t="s">
        <v>67</v>
      </c>
      <c r="B64" s="1" t="str">
        <f>_xlfn.XLOOKUP(Table15[[#This Row],[EmpID]],[1]Sheet1!$A$1:$A$201,[1]Sheet1!$B$1:$B$201,"Not Found",0,-1)</f>
        <v>Krishna Iyer</v>
      </c>
      <c r="C64" s="1"/>
      <c r="D64" s="1"/>
      <c r="E64" s="8"/>
      <c r="F64" s="1"/>
    </row>
    <row r="65" spans="1:6" x14ac:dyDescent="0.3">
      <c r="A65" s="2" t="s">
        <v>68</v>
      </c>
      <c r="B65" s="1" t="str">
        <f>_xlfn.XLOOKUP(Table15[[#This Row],[EmpID]],[1]Sheet1!$A$1:$A$201,[1]Sheet1!$B$1:$B$201,"Not Found",0,-1)</f>
        <v>Shivani Gupta</v>
      </c>
      <c r="C65" s="1"/>
      <c r="D65" s="1"/>
      <c r="E65" s="8"/>
      <c r="F65" s="1"/>
    </row>
    <row r="66" spans="1:6" x14ac:dyDescent="0.3">
      <c r="A66" s="2" t="s">
        <v>69</v>
      </c>
      <c r="B66" s="1" t="str">
        <f>_xlfn.XLOOKUP(Table15[[#This Row],[EmpID]],[1]Sheet1!$A$1:$A$201,[1]Sheet1!$B$1:$B$201,"Not Found",0,-1)</f>
        <v>Aditya Malhotra</v>
      </c>
      <c r="C66" s="1"/>
      <c r="D66" s="1"/>
      <c r="E66" s="8"/>
      <c r="F66" s="1"/>
    </row>
    <row r="67" spans="1:6" x14ac:dyDescent="0.3">
      <c r="A67" s="2" t="s">
        <v>70</v>
      </c>
      <c r="B67" s="1" t="str">
        <f>_xlfn.XLOOKUP(Table15[[#This Row],[EmpID]],[1]Sheet1!$A$1:$A$201,[1]Sheet1!$B$1:$B$201,"Not Found",0,-1)</f>
        <v>Pooja Sharma</v>
      </c>
      <c r="C67" s="1"/>
      <c r="D67" s="1"/>
      <c r="E67" s="8"/>
      <c r="F67" s="1"/>
    </row>
    <row r="68" spans="1:6" x14ac:dyDescent="0.3">
      <c r="A68" s="2" t="s">
        <v>71</v>
      </c>
      <c r="B68" s="1" t="str">
        <f>_xlfn.XLOOKUP(Table15[[#This Row],[EmpID]],[1]Sheet1!$A$1:$A$201,[1]Sheet1!$B$1:$B$201,"Not Found",0,-1)</f>
        <v>Raj Kumar</v>
      </c>
      <c r="C68" s="1"/>
      <c r="D68" s="1"/>
      <c r="E68" s="8"/>
      <c r="F68" s="1"/>
    </row>
    <row r="69" spans="1:6" x14ac:dyDescent="0.3">
      <c r="A69" s="2" t="s">
        <v>72</v>
      </c>
      <c r="B69" s="1" t="str">
        <f>_xlfn.XLOOKUP(Table15[[#This Row],[EmpID]],[1]Sheet1!$A$1:$A$201,[1]Sheet1!$B$1:$B$201,"Not Found",0,-1)</f>
        <v>Neelima Joshi</v>
      </c>
      <c r="C69" s="1"/>
      <c r="D69" s="1"/>
      <c r="E69" s="8"/>
      <c r="F69" s="1"/>
    </row>
    <row r="70" spans="1:6" x14ac:dyDescent="0.3">
      <c r="A70" s="2" t="s">
        <v>73</v>
      </c>
      <c r="B70" s="1" t="str">
        <f>_xlfn.XLOOKUP(Table15[[#This Row],[EmpID]],[1]Sheet1!$A$1:$A$201,[1]Sheet1!$B$1:$B$201,"Not Found",0,-1)</f>
        <v>Anupam Roy</v>
      </c>
      <c r="C70" s="1"/>
      <c r="D70" s="1"/>
      <c r="E70" s="8"/>
      <c r="F70" s="1"/>
    </row>
    <row r="71" spans="1:6" x14ac:dyDescent="0.3">
      <c r="A71" s="2" t="s">
        <v>74</v>
      </c>
      <c r="B71" s="1" t="str">
        <f>_xlfn.XLOOKUP(Table15[[#This Row],[EmpID]],[1]Sheet1!$A$1:$A$201,[1]Sheet1!$B$1:$B$201,"Not Found",0,-1)</f>
        <v>Sonia Bhat</v>
      </c>
      <c r="C71" s="1"/>
      <c r="D71" s="1"/>
      <c r="E71" s="8"/>
      <c r="F71" s="1"/>
    </row>
    <row r="72" spans="1:6" x14ac:dyDescent="0.3">
      <c r="A72" s="2" t="s">
        <v>75</v>
      </c>
      <c r="B72" s="1" t="str">
        <f>_xlfn.XLOOKUP(Table15[[#This Row],[EmpID]],[1]Sheet1!$A$1:$A$201,[1]Sheet1!$B$1:$B$201,"Not Found",0,-1)</f>
        <v>Arvind Chopra</v>
      </c>
      <c r="C72" s="1"/>
      <c r="D72" s="1"/>
      <c r="E72" s="8"/>
      <c r="F72" s="1"/>
    </row>
    <row r="73" spans="1:6" x14ac:dyDescent="0.3">
      <c r="A73" s="2" t="s">
        <v>76</v>
      </c>
      <c r="B73" s="1" t="str">
        <f>_xlfn.XLOOKUP(Table15[[#This Row],[EmpID]],[1]Sheet1!$A$1:$A$201,[1]Sheet1!$B$1:$B$201,"Not Found",0,-1)</f>
        <v>Meera Iyer</v>
      </c>
      <c r="C73" s="1"/>
      <c r="D73" s="1"/>
      <c r="E73" s="8"/>
      <c r="F73" s="1"/>
    </row>
    <row r="74" spans="1:6" x14ac:dyDescent="0.3">
      <c r="A74" s="2" t="s">
        <v>77</v>
      </c>
      <c r="B74" s="1" t="str">
        <f>_xlfn.XLOOKUP(Table15[[#This Row],[EmpID]],[1]Sheet1!$A$1:$A$201,[1]Sheet1!$B$1:$B$201,"Not Found",0,-1)</f>
        <v>Pranav Shah</v>
      </c>
      <c r="C74" s="1"/>
      <c r="D74" s="1"/>
      <c r="E74" s="8"/>
      <c r="F74" s="1"/>
    </row>
    <row r="75" spans="1:6" x14ac:dyDescent="0.3">
      <c r="A75" s="2" t="s">
        <v>78</v>
      </c>
      <c r="B75" s="1" t="str">
        <f>_xlfn.XLOOKUP(Table15[[#This Row],[EmpID]],[1]Sheet1!$A$1:$A$201,[1]Sheet1!$B$1:$B$201,"Not Found",0,-1)</f>
        <v>Shikha Sood</v>
      </c>
      <c r="C75" s="1"/>
      <c r="D75" s="1"/>
      <c r="E75" s="8"/>
      <c r="F75" s="1"/>
    </row>
    <row r="76" spans="1:6" x14ac:dyDescent="0.3">
      <c r="A76" s="2" t="s">
        <v>79</v>
      </c>
      <c r="B76" s="1" t="str">
        <f>_xlfn.XLOOKUP(Table15[[#This Row],[EmpID]],[1]Sheet1!$A$1:$A$201,[1]Sheet1!$B$1:$B$201,"Not Found",0,-1)</f>
        <v>Rajeev Gupta</v>
      </c>
      <c r="C76" s="1"/>
      <c r="D76" s="1"/>
      <c r="E76" s="8"/>
      <c r="F76" s="1"/>
    </row>
    <row r="77" spans="1:6" x14ac:dyDescent="0.3">
      <c r="A77" s="2" t="s">
        <v>80</v>
      </c>
      <c r="B77" s="1" t="str">
        <f>_xlfn.XLOOKUP(Table15[[#This Row],[EmpID]],[1]Sheet1!$A$1:$A$201,[1]Sheet1!$B$1:$B$201,"Not Found",0,-1)</f>
        <v>Anita Menon</v>
      </c>
      <c r="C77" s="1"/>
      <c r="D77" s="1"/>
      <c r="E77" s="8"/>
      <c r="F77" s="1"/>
    </row>
    <row r="78" spans="1:6" x14ac:dyDescent="0.3">
      <c r="A78" s="2" t="s">
        <v>81</v>
      </c>
      <c r="B78" s="1" t="str">
        <f>_xlfn.XLOOKUP(Table15[[#This Row],[EmpID]],[1]Sheet1!$A$1:$A$201,[1]Sheet1!$B$1:$B$201,"Not Found",0,-1)</f>
        <v>Vinod Bhat</v>
      </c>
      <c r="C78" s="1"/>
      <c r="D78" s="1"/>
      <c r="E78" s="8"/>
      <c r="F78" s="1"/>
    </row>
    <row r="79" spans="1:6" x14ac:dyDescent="0.3">
      <c r="A79" s="2" t="s">
        <v>82</v>
      </c>
      <c r="B79" s="1" t="str">
        <f>_xlfn.XLOOKUP(Table15[[#This Row],[EmpID]],[1]Sheet1!$A$1:$A$201,[1]Sheet1!$B$1:$B$201,"Not Found",0,-1)</f>
        <v>Anushree Ghosh</v>
      </c>
      <c r="C79" s="1"/>
      <c r="D79" s="1"/>
      <c r="E79" s="8"/>
      <c r="F79" s="1"/>
    </row>
    <row r="80" spans="1:6" x14ac:dyDescent="0.3">
      <c r="A80" s="2" t="s">
        <v>83</v>
      </c>
      <c r="B80" s="1" t="str">
        <f>_xlfn.XLOOKUP(Table15[[#This Row],[EmpID]],[1]Sheet1!$A$1:$A$201,[1]Sheet1!$B$1:$B$201,"Not Found",0,-1)</f>
        <v>Manu Kapoor</v>
      </c>
      <c r="C80" s="1"/>
      <c r="D80" s="1"/>
      <c r="E80" s="8"/>
      <c r="F80" s="1"/>
    </row>
    <row r="81" spans="1:6" x14ac:dyDescent="0.3">
      <c r="A81" s="2" t="s">
        <v>84</v>
      </c>
      <c r="B81" s="1" t="str">
        <f>_xlfn.XLOOKUP(Table15[[#This Row],[EmpID]],[1]Sheet1!$A$1:$A$201,[1]Sheet1!$B$1:$B$201,"Not Found",0,-1)</f>
        <v>Reema Nair</v>
      </c>
      <c r="C81" s="1"/>
      <c r="D81" s="1"/>
      <c r="E81" s="8"/>
      <c r="F81" s="1"/>
    </row>
    <row r="82" spans="1:6" x14ac:dyDescent="0.3">
      <c r="A82" s="2" t="s">
        <v>85</v>
      </c>
      <c r="B82" s="1" t="str">
        <f>_xlfn.XLOOKUP(Table15[[#This Row],[EmpID]],[1]Sheet1!$A$1:$A$201,[1]Sheet1!$B$1:$B$201,"Not Found",0,-1)</f>
        <v>Arjun Verma</v>
      </c>
      <c r="C82" s="1"/>
      <c r="D82" s="1"/>
      <c r="E82" s="8"/>
      <c r="F82" s="1"/>
    </row>
    <row r="83" spans="1:6" x14ac:dyDescent="0.3">
      <c r="A83" s="2" t="s">
        <v>86</v>
      </c>
      <c r="B83" s="1" t="str">
        <f>_xlfn.XLOOKUP(Table15[[#This Row],[EmpID]],[1]Sheet1!$A$1:$A$201,[1]Sheet1!$B$1:$B$201,"Not Found",0,-1)</f>
        <v>Divya Singh</v>
      </c>
      <c r="C83" s="1"/>
      <c r="D83" s="1"/>
      <c r="E83" s="8"/>
      <c r="F83" s="1"/>
    </row>
    <row r="84" spans="1:6" x14ac:dyDescent="0.3">
      <c r="A84" s="2" t="s">
        <v>87</v>
      </c>
      <c r="B84" s="1" t="str">
        <f>_xlfn.XLOOKUP(Table15[[#This Row],[EmpID]],[1]Sheet1!$A$1:$A$201,[1]Sheet1!$B$1:$B$201,"Not Found",0,-1)</f>
        <v>Rahul Desai</v>
      </c>
      <c r="C84" s="1"/>
      <c r="D84" s="1"/>
      <c r="E84" s="8"/>
      <c r="F84" s="1"/>
    </row>
    <row r="85" spans="1:6" x14ac:dyDescent="0.3">
      <c r="A85" s="2" t="s">
        <v>88</v>
      </c>
      <c r="B85" s="1" t="str">
        <f>_xlfn.XLOOKUP(Table15[[#This Row],[EmpID]],[1]Sheet1!$A$1:$A$201,[1]Sheet1!$B$1:$B$201,"Not Found",0,-1)</f>
        <v>Shalini Rao</v>
      </c>
      <c r="C85" s="1"/>
      <c r="D85" s="1"/>
      <c r="E85" s="8"/>
      <c r="F85" s="1"/>
    </row>
    <row r="86" spans="1:6" x14ac:dyDescent="0.3">
      <c r="A86" s="2" t="s">
        <v>89</v>
      </c>
      <c r="B86" s="1" t="str">
        <f>_xlfn.XLOOKUP(Table15[[#This Row],[EmpID]],[1]Sheet1!$A$1:$A$201,[1]Sheet1!$B$1:$B$201,"Not Found",0,-1)</f>
        <v>Anupama Chatterjee</v>
      </c>
      <c r="C86" s="1"/>
      <c r="D86" s="1"/>
      <c r="E86" s="8"/>
      <c r="F86" s="1"/>
    </row>
    <row r="87" spans="1:6" x14ac:dyDescent="0.3">
      <c r="A87" s="2" t="s">
        <v>90</v>
      </c>
      <c r="B87" s="1" t="str">
        <f>_xlfn.XLOOKUP(Table15[[#This Row],[EmpID]],[1]Sheet1!$A$1:$A$201,[1]Sheet1!$B$1:$B$201,"Not Found",0,-1)</f>
        <v>Sameer Malhotra</v>
      </c>
      <c r="C87" s="1"/>
      <c r="D87" s="1"/>
      <c r="E87" s="8"/>
      <c r="F87" s="1"/>
    </row>
    <row r="88" spans="1:6" x14ac:dyDescent="0.3">
      <c r="A88" s="2" t="s">
        <v>91</v>
      </c>
      <c r="B88" s="1" t="str">
        <f>_xlfn.XLOOKUP(Table15[[#This Row],[EmpID]],[1]Sheet1!$A$1:$A$201,[1]Sheet1!$B$1:$B$201,"Not Found",0,-1)</f>
        <v>Neeraj Kumar</v>
      </c>
      <c r="C88" s="1"/>
      <c r="D88" s="1"/>
      <c r="E88" s="8"/>
      <c r="F88" s="1"/>
    </row>
    <row r="89" spans="1:6" x14ac:dyDescent="0.3">
      <c r="A89" s="2" t="s">
        <v>92</v>
      </c>
      <c r="B89" s="1" t="str">
        <f>_xlfn.XLOOKUP(Table15[[#This Row],[EmpID]],[1]Sheet1!$A$1:$A$201,[1]Sheet1!$B$1:$B$201,"Not Found",0,-1)</f>
        <v>Prerna Bhatt</v>
      </c>
      <c r="C89" s="1"/>
      <c r="D89" s="1"/>
      <c r="E89" s="8"/>
      <c r="F89" s="1"/>
    </row>
    <row r="90" spans="1:6" x14ac:dyDescent="0.3">
      <c r="A90" s="2" t="s">
        <v>93</v>
      </c>
      <c r="B90" s="1" t="str">
        <f>_xlfn.XLOOKUP(Table15[[#This Row],[EmpID]],[1]Sheet1!$A$1:$A$201,[1]Sheet1!$B$1:$B$201,"Not Found",0,-1)</f>
        <v>Arvind Saini</v>
      </c>
      <c r="C90" s="1"/>
      <c r="D90" s="1"/>
      <c r="E90" s="8"/>
      <c r="F90" s="1"/>
    </row>
    <row r="91" spans="1:6" x14ac:dyDescent="0.3">
      <c r="A91" s="2" t="s">
        <v>94</v>
      </c>
      <c r="B91" s="1" t="str">
        <f>_xlfn.XLOOKUP(Table15[[#This Row],[EmpID]],[1]Sheet1!$A$1:$A$201,[1]Sheet1!$B$1:$B$201,"Not Found",0,-1)</f>
        <v>Geeta Pillai</v>
      </c>
      <c r="C91" s="1"/>
      <c r="D91" s="1"/>
      <c r="E91" s="8"/>
      <c r="F91" s="1"/>
    </row>
    <row r="92" spans="1:6" x14ac:dyDescent="0.3">
      <c r="A92" s="2" t="s">
        <v>95</v>
      </c>
      <c r="B92" s="1" t="str">
        <f>_xlfn.XLOOKUP(Table15[[#This Row],[EmpID]],[1]Sheet1!$A$1:$A$201,[1]Sheet1!$B$1:$B$201,"Not Found",0,-1)</f>
        <v>Akshay Mehta</v>
      </c>
      <c r="C92" s="1"/>
      <c r="D92" s="1"/>
      <c r="E92" s="8"/>
      <c r="F92" s="1"/>
    </row>
    <row r="93" spans="1:6" x14ac:dyDescent="0.3">
      <c r="A93" s="2" t="s">
        <v>96</v>
      </c>
      <c r="B93" s="1" t="str">
        <f>_xlfn.XLOOKUP(Table15[[#This Row],[EmpID]],[1]Sheet1!$A$1:$A$201,[1]Sheet1!$B$1:$B$201,"Not Found",0,-1)</f>
        <v>Anita Iqbal</v>
      </c>
      <c r="C93" s="1"/>
      <c r="D93" s="1"/>
      <c r="E93" s="8"/>
      <c r="F93" s="1"/>
    </row>
    <row r="94" spans="1:6" x14ac:dyDescent="0.3">
      <c r="A94" s="2" t="s">
        <v>97</v>
      </c>
      <c r="B94" s="1" t="str">
        <f>_xlfn.XLOOKUP(Table15[[#This Row],[EmpID]],[1]Sheet1!$A$1:$A$201,[1]Sheet1!$B$1:$B$201,"Not Found",0,-1)</f>
        <v>Devika Nair</v>
      </c>
      <c r="C94" s="1"/>
      <c r="D94" s="1"/>
      <c r="E94" s="8"/>
      <c r="F94" s="1"/>
    </row>
    <row r="95" spans="1:6" x14ac:dyDescent="0.3">
      <c r="A95" s="2" t="s">
        <v>98</v>
      </c>
      <c r="B95" s="1" t="str">
        <f>_xlfn.XLOOKUP(Table15[[#This Row],[EmpID]],[1]Sheet1!$A$1:$A$201,[1]Sheet1!$B$1:$B$201,"Not Found",0,-1)</f>
        <v>Rakesh Sharma</v>
      </c>
      <c r="C95" s="1"/>
      <c r="D95" s="1"/>
      <c r="E95" s="8"/>
      <c r="F95" s="1"/>
    </row>
    <row r="96" spans="1:6" x14ac:dyDescent="0.3">
      <c r="A96" s="2" t="s">
        <v>99</v>
      </c>
      <c r="B96" s="1" t="str">
        <f>_xlfn.XLOOKUP(Table15[[#This Row],[EmpID]],[1]Sheet1!$A$1:$A$201,[1]Sheet1!$B$1:$B$201,"Not Found",0,-1)</f>
        <v>Shreya Kapoor</v>
      </c>
      <c r="C96" s="1"/>
      <c r="D96" s="1"/>
      <c r="E96" s="8"/>
      <c r="F96" s="1"/>
    </row>
    <row r="97" spans="1:6" x14ac:dyDescent="0.3">
      <c r="A97" s="2" t="s">
        <v>100</v>
      </c>
      <c r="B97" s="1" t="str">
        <f>_xlfn.XLOOKUP(Table15[[#This Row],[EmpID]],[1]Sheet1!$A$1:$A$201,[1]Sheet1!$B$1:$B$201,"Not Found",0,-1)</f>
        <v>Manish Verma</v>
      </c>
      <c r="C97" s="1"/>
      <c r="D97" s="1"/>
      <c r="E97" s="8"/>
      <c r="F97" s="1"/>
    </row>
    <row r="98" spans="1:6" x14ac:dyDescent="0.3">
      <c r="A98" s="2" t="s">
        <v>101</v>
      </c>
      <c r="B98" s="1" t="str">
        <f>_xlfn.XLOOKUP(Table15[[#This Row],[EmpID]],[1]Sheet1!$A$1:$A$201,[1]Sheet1!$B$1:$B$201,"Not Found",0,-1)</f>
        <v>Sunil Rao</v>
      </c>
      <c r="C98" s="1"/>
      <c r="D98" s="1"/>
      <c r="E98" s="8"/>
      <c r="F98" s="1"/>
    </row>
    <row r="99" spans="1:6" x14ac:dyDescent="0.3">
      <c r="A99" s="2" t="s">
        <v>102</v>
      </c>
      <c r="B99" s="1" t="str">
        <f>_xlfn.XLOOKUP(Table15[[#This Row],[EmpID]],[1]Sheet1!$A$1:$A$201,[1]Sheet1!$B$1:$B$201,"Not Found",0,-1)</f>
        <v>Ankita Banerjee</v>
      </c>
      <c r="C99" s="1"/>
      <c r="D99" s="1"/>
      <c r="E99" s="8"/>
      <c r="F99" s="1"/>
    </row>
    <row r="100" spans="1:6" x14ac:dyDescent="0.3">
      <c r="A100" s="2" t="s">
        <v>103</v>
      </c>
      <c r="B100" s="1" t="str">
        <f>_xlfn.XLOOKUP(Table15[[#This Row],[EmpID]],[1]Sheet1!$A$1:$A$201,[1]Sheet1!$B$1:$B$201,"Not Found",0,-1)</f>
        <v>Prakash Singh</v>
      </c>
      <c r="C100" s="1"/>
      <c r="D100" s="1"/>
      <c r="E100" s="8"/>
      <c r="F100" s="1"/>
    </row>
    <row r="101" spans="1:6" x14ac:dyDescent="0.3">
      <c r="A101" s="2" t="s">
        <v>104</v>
      </c>
      <c r="B101" s="1" t="str">
        <f>_xlfn.XLOOKUP(Table15[[#This Row],[EmpID]],[1]Sheet1!$A$1:$A$201,[1]Sheet1!$B$1:$B$201,"Not Found",0,-1)</f>
        <v>Radha Menon</v>
      </c>
      <c r="C101" s="1"/>
      <c r="D101" s="1"/>
      <c r="E101" s="8"/>
      <c r="F101" s="1"/>
    </row>
    <row r="102" spans="1:6" x14ac:dyDescent="0.3">
      <c r="A102" s="2" t="s">
        <v>105</v>
      </c>
      <c r="B102" s="1" t="str">
        <f>_xlfn.XLOOKUP(Table15[[#This Row],[EmpID]],[1]Sheet1!$A$1:$A$201,[1]Sheet1!$B$1:$B$201,"Not Found",0,-1)</f>
        <v>Vikram Patel</v>
      </c>
      <c r="C102" s="1"/>
      <c r="D102" s="1"/>
      <c r="E102" s="8"/>
      <c r="F102" s="1"/>
    </row>
    <row r="103" spans="1:6" x14ac:dyDescent="0.3">
      <c r="A103" s="2" t="s">
        <v>106</v>
      </c>
      <c r="B103" s="1" t="str">
        <f>_xlfn.XLOOKUP(Table15[[#This Row],[EmpID]],[1]Sheet1!$A$1:$A$201,[1]Sheet1!$B$1:$B$201,"Not Found",0,-1)</f>
        <v>Neha Gupta</v>
      </c>
      <c r="C103" s="1"/>
      <c r="D103" s="1"/>
      <c r="E103" s="8"/>
      <c r="F103" s="1"/>
    </row>
    <row r="104" spans="1:6" x14ac:dyDescent="0.3">
      <c r="A104" s="2" t="s">
        <v>107</v>
      </c>
      <c r="B104" s="1" t="str">
        <f>_xlfn.XLOOKUP(Table15[[#This Row],[EmpID]],[1]Sheet1!$A$1:$A$201,[1]Sheet1!$B$1:$B$201,"Not Found",0,-1)</f>
        <v>Arjun Sharma</v>
      </c>
      <c r="C104" s="1"/>
      <c r="D104" s="1"/>
      <c r="E104" s="8"/>
      <c r="F104" s="1"/>
    </row>
    <row r="105" spans="1:6" x14ac:dyDescent="0.3">
      <c r="A105" s="2" t="s">
        <v>108</v>
      </c>
      <c r="B105" s="1" t="str">
        <f>_xlfn.XLOOKUP(Table15[[#This Row],[EmpID]],[1]Sheet1!$A$1:$A$201,[1]Sheet1!$B$1:$B$201,"Not Found",0,-1)</f>
        <v>Divya Mehra</v>
      </c>
      <c r="C105" s="1"/>
      <c r="D105" s="1"/>
      <c r="E105" s="8"/>
      <c r="F105" s="1"/>
    </row>
    <row r="106" spans="1:6" x14ac:dyDescent="0.3">
      <c r="A106" s="2" t="s">
        <v>109</v>
      </c>
      <c r="B106" s="1" t="str">
        <f>_xlfn.XLOOKUP(Table15[[#This Row],[EmpID]],[1]Sheet1!$A$1:$A$201,[1]Sheet1!$B$1:$B$201,"Not Found",0,-1)</f>
        <v>Rohit Nair</v>
      </c>
      <c r="C106" s="1"/>
      <c r="D106" s="1"/>
      <c r="E106" s="8"/>
      <c r="F106" s="1"/>
    </row>
    <row r="107" spans="1:6" x14ac:dyDescent="0.3">
      <c r="A107" s="2" t="s">
        <v>110</v>
      </c>
      <c r="B107" s="1" t="str">
        <f>_xlfn.XLOOKUP(Table15[[#This Row],[EmpID]],[1]Sheet1!$A$1:$A$201,[1]Sheet1!$B$1:$B$201,"Not Found",0,-1)</f>
        <v>Anjali Joshi</v>
      </c>
      <c r="C107" s="1"/>
      <c r="D107" s="1"/>
      <c r="E107" s="8"/>
      <c r="F107" s="1"/>
    </row>
    <row r="108" spans="1:6" x14ac:dyDescent="0.3">
      <c r="A108" s="2" t="s">
        <v>111</v>
      </c>
      <c r="B108" s="1" t="str">
        <f>_xlfn.XLOOKUP(Table15[[#This Row],[EmpID]],[1]Sheet1!$A$1:$A$201,[1]Sheet1!$B$1:$B$201,"Not Found",0,-1)</f>
        <v>Praveen Kumar</v>
      </c>
      <c r="C108" s="1"/>
      <c r="D108" s="1"/>
      <c r="E108" s="8"/>
      <c r="F108" s="1"/>
    </row>
    <row r="109" spans="1:6" x14ac:dyDescent="0.3">
      <c r="A109" s="2" t="s">
        <v>112</v>
      </c>
      <c r="B109" s="1" t="str">
        <f>_xlfn.XLOOKUP(Table15[[#This Row],[EmpID]],[1]Sheet1!$A$1:$A$201,[1]Sheet1!$B$1:$B$201,"Not Found",0,-1)</f>
        <v>Shweta Rao</v>
      </c>
      <c r="C109" s="1"/>
      <c r="D109" s="1"/>
      <c r="E109" s="8"/>
      <c r="F109" s="1"/>
    </row>
    <row r="110" spans="1:6" x14ac:dyDescent="0.3">
      <c r="A110" s="2" t="s">
        <v>113</v>
      </c>
      <c r="B110" s="1" t="str">
        <f>_xlfn.XLOOKUP(Table15[[#This Row],[EmpID]],[1]Sheet1!$A$1:$A$201,[1]Sheet1!$B$1:$B$201,"Not Found",0,-1)</f>
        <v>Manisha Sood</v>
      </c>
      <c r="C110" s="1"/>
      <c r="D110" s="1"/>
      <c r="E110" s="8"/>
      <c r="F110" s="1"/>
    </row>
    <row r="111" spans="1:6" x14ac:dyDescent="0.3">
      <c r="A111" s="2" t="s">
        <v>114</v>
      </c>
      <c r="B111" s="1" t="str">
        <f>_xlfn.XLOOKUP(Table15[[#This Row],[EmpID]],[1]Sheet1!$A$1:$A$201,[1]Sheet1!$B$1:$B$201,"Not Found",0,-1)</f>
        <v>Arun D'Souza</v>
      </c>
      <c r="C111" s="1"/>
      <c r="D111" s="1"/>
      <c r="E111" s="8"/>
      <c r="F111" s="1"/>
    </row>
    <row r="112" spans="1:6" x14ac:dyDescent="0.3">
      <c r="A112" s="2" t="s">
        <v>115</v>
      </c>
      <c r="B112" s="1" t="str">
        <f>_xlfn.XLOOKUP(Table15[[#This Row],[EmpID]],[1]Sheet1!$A$1:$A$201,[1]Sheet1!$B$1:$B$201,"Not Found",0,-1)</f>
        <v>Neeraj Sharma</v>
      </c>
      <c r="C112" s="1"/>
      <c r="D112" s="1"/>
      <c r="E112" s="8"/>
      <c r="F112" s="1"/>
    </row>
    <row r="113" spans="1:6" x14ac:dyDescent="0.3">
      <c r="A113" s="2" t="s">
        <v>116</v>
      </c>
      <c r="B113" s="1" t="str">
        <f>_xlfn.XLOOKUP(Table15[[#This Row],[EmpID]],[1]Sheet1!$A$1:$A$201,[1]Sheet1!$B$1:$B$201,"Not Found",0,-1)</f>
        <v>Megha Verma</v>
      </c>
      <c r="C113" s="1"/>
      <c r="D113" s="1"/>
      <c r="E113" s="8"/>
      <c r="F113" s="1"/>
    </row>
    <row r="114" spans="1:6" x14ac:dyDescent="0.3">
      <c r="A114" s="2" t="s">
        <v>117</v>
      </c>
      <c r="B114" s="1" t="str">
        <f>_xlfn.XLOOKUP(Table15[[#This Row],[EmpID]],[1]Sheet1!$A$1:$A$201,[1]Sheet1!$B$1:$B$201,"Not Found",0,-1)</f>
        <v>Aditya Kapoor</v>
      </c>
      <c r="C114" s="1"/>
      <c r="D114" s="1"/>
      <c r="E114" s="8"/>
      <c r="F114" s="1"/>
    </row>
    <row r="115" spans="1:6" x14ac:dyDescent="0.3">
      <c r="A115" s="2" t="s">
        <v>118</v>
      </c>
      <c r="B115" s="1" t="str">
        <f>_xlfn.XLOOKUP(Table15[[#This Row],[EmpID]],[1]Sheet1!$A$1:$A$201,[1]Sheet1!$B$1:$B$201,"Not Found",0,-1)</f>
        <v>Sunita Chawla</v>
      </c>
      <c r="C115" s="1"/>
      <c r="D115" s="1"/>
      <c r="E115" s="8"/>
      <c r="F115" s="1"/>
    </row>
    <row r="116" spans="1:6" x14ac:dyDescent="0.3">
      <c r="A116" s="2" t="s">
        <v>119</v>
      </c>
      <c r="B116" s="1" t="str">
        <f>_xlfn.XLOOKUP(Table15[[#This Row],[EmpID]],[1]Sheet1!$A$1:$A$201,[1]Sheet1!$B$1:$B$201,"Not Found",0,-1)</f>
        <v>Rahul Bhatt</v>
      </c>
      <c r="C116" s="1"/>
      <c r="D116" s="1"/>
      <c r="E116" s="8"/>
      <c r="F116" s="1"/>
    </row>
    <row r="117" spans="1:6" x14ac:dyDescent="0.3">
      <c r="A117" s="2" t="s">
        <v>120</v>
      </c>
      <c r="B117" s="1" t="str">
        <f>_xlfn.XLOOKUP(Table15[[#This Row],[EmpID]],[1]Sheet1!$A$1:$A$201,[1]Sheet1!$B$1:$B$201,"Not Found",0,-1)</f>
        <v>Anita Reddy</v>
      </c>
      <c r="C117" s="1"/>
      <c r="D117" s="1"/>
      <c r="E117" s="8"/>
      <c r="F117" s="1"/>
    </row>
    <row r="118" spans="1:6" x14ac:dyDescent="0.3">
      <c r="A118" s="2" t="s">
        <v>121</v>
      </c>
      <c r="B118" s="1" t="str">
        <f>_xlfn.XLOOKUP(Table15[[#This Row],[EmpID]],[1]Sheet1!$A$1:$A$201,[1]Sheet1!$B$1:$B$201,"Not Found",0,-1)</f>
        <v>Prakash Iyer</v>
      </c>
      <c r="C118" s="1"/>
      <c r="D118" s="1"/>
      <c r="E118" s="8"/>
      <c r="F118" s="1"/>
    </row>
    <row r="119" spans="1:6" x14ac:dyDescent="0.3">
      <c r="A119" s="2" t="s">
        <v>122</v>
      </c>
      <c r="B119" s="1" t="str">
        <f>_xlfn.XLOOKUP(Table15[[#This Row],[EmpID]],[1]Sheet1!$A$1:$A$201,[1]Sheet1!$B$1:$B$201,"Not Found",0,-1)</f>
        <v>Swati Banerjee</v>
      </c>
      <c r="C119" s="1"/>
      <c r="D119" s="1"/>
      <c r="E119" s="8"/>
      <c r="F119" s="1"/>
    </row>
    <row r="120" spans="1:6" x14ac:dyDescent="0.3">
      <c r="A120" s="2" t="s">
        <v>123</v>
      </c>
      <c r="B120" s="1" t="str">
        <f>_xlfn.XLOOKUP(Table15[[#This Row],[EmpID]],[1]Sheet1!$A$1:$A$201,[1]Sheet1!$B$1:$B$201,"Not Found",0,-1)</f>
        <v>Manoj Menon</v>
      </c>
      <c r="C120" s="1"/>
      <c r="D120" s="1"/>
      <c r="E120" s="8"/>
      <c r="F120" s="1"/>
    </row>
    <row r="121" spans="1:6" x14ac:dyDescent="0.3">
      <c r="A121" s="2" t="s">
        <v>124</v>
      </c>
      <c r="B121" s="1" t="str">
        <f>_xlfn.XLOOKUP(Table15[[#This Row],[EmpID]],[1]Sheet1!$A$1:$A$201,[1]Sheet1!$B$1:$B$201,"Not Found",0,-1)</f>
        <v>Neha Saini</v>
      </c>
      <c r="C121" s="1"/>
      <c r="D121" s="1"/>
      <c r="E121" s="8"/>
      <c r="F121" s="1"/>
    </row>
    <row r="122" spans="1:6" x14ac:dyDescent="0.3">
      <c r="A122" s="2" t="s">
        <v>125</v>
      </c>
      <c r="B122" s="1" t="str">
        <f>_xlfn.XLOOKUP(Table15[[#This Row],[EmpID]],[1]Sheet1!$A$1:$A$201,[1]Sheet1!$B$1:$B$201,"Not Found",0,-1)</f>
        <v>Arjun Gupta</v>
      </c>
      <c r="C122" s="1"/>
      <c r="D122" s="1"/>
      <c r="E122" s="8"/>
      <c r="F122" s="1"/>
    </row>
    <row r="123" spans="1:6" x14ac:dyDescent="0.3">
      <c r="A123" s="2" t="s">
        <v>126</v>
      </c>
      <c r="B123" s="1" t="str">
        <f>_xlfn.XLOOKUP(Table15[[#This Row],[EmpID]],[1]Sheet1!$A$1:$A$201,[1]Sheet1!$B$1:$B$201,"Not Found",0,-1)</f>
        <v>Shreya Sharma</v>
      </c>
      <c r="C123" s="1"/>
      <c r="D123" s="1"/>
      <c r="E123" s="8"/>
      <c r="F123" s="1"/>
    </row>
    <row r="124" spans="1:6" x14ac:dyDescent="0.3">
      <c r="A124" s="2" t="s">
        <v>127</v>
      </c>
      <c r="B124" s="1" t="str">
        <f>_xlfn.XLOOKUP(Table15[[#This Row],[EmpID]],[1]Sheet1!$A$1:$A$201,[1]Sheet1!$B$1:$B$201,"Not Found",0,-1)</f>
        <v>Varun Joshi</v>
      </c>
      <c r="C124" s="1"/>
      <c r="D124" s="1"/>
      <c r="E124" s="8"/>
      <c r="F124" s="1"/>
    </row>
    <row r="125" spans="1:6" x14ac:dyDescent="0.3">
      <c r="A125" s="2" t="s">
        <v>128</v>
      </c>
      <c r="B125" s="1" t="str">
        <f>_xlfn.XLOOKUP(Table15[[#This Row],[EmpID]],[1]Sheet1!$A$1:$A$201,[1]Sheet1!$B$1:$B$201,"Not Found",0,-1)</f>
        <v>Deepika Rao</v>
      </c>
      <c r="C125" s="1"/>
      <c r="D125" s="1"/>
      <c r="E125" s="8"/>
      <c r="F125" s="1"/>
    </row>
    <row r="126" spans="1:6" x14ac:dyDescent="0.3">
      <c r="A126" s="2" t="s">
        <v>129</v>
      </c>
      <c r="B126" s="1" t="str">
        <f>_xlfn.XLOOKUP(Table15[[#This Row],[EmpID]],[1]Sheet1!$A$1:$A$201,[1]Sheet1!$B$1:$B$201,"Not Found",0,-1)</f>
        <v>Sameer Khan</v>
      </c>
      <c r="C126" s="1"/>
      <c r="D126" s="1"/>
      <c r="E126" s="8"/>
      <c r="F126" s="1"/>
    </row>
    <row r="127" spans="1:6" x14ac:dyDescent="0.3">
      <c r="A127" s="2" t="s">
        <v>130</v>
      </c>
      <c r="B127" s="1" t="str">
        <f>_xlfn.XLOOKUP(Table15[[#This Row],[EmpID]],[1]Sheet1!$A$1:$A$201,[1]Sheet1!$B$1:$B$201,"Not Found",0,-1)</f>
        <v>Anjali Menon</v>
      </c>
      <c r="C127" s="1"/>
      <c r="D127" s="1"/>
      <c r="E127" s="8"/>
      <c r="F127" s="1"/>
    </row>
    <row r="128" spans="1:6" x14ac:dyDescent="0.3">
      <c r="A128" s="2" t="s">
        <v>131</v>
      </c>
      <c r="B128" s="1" t="str">
        <f>_xlfn.XLOOKUP(Table15[[#This Row],[EmpID]],[1]Sheet1!$A$1:$A$201,[1]Sheet1!$B$1:$B$201,"Not Found",0,-1)</f>
        <v>Rajesh Patel</v>
      </c>
      <c r="C128" s="1"/>
      <c r="D128" s="1"/>
      <c r="E128" s="8"/>
      <c r="F128" s="1"/>
    </row>
    <row r="129" spans="1:6" x14ac:dyDescent="0.3">
      <c r="A129" s="2" t="s">
        <v>132</v>
      </c>
      <c r="B129" s="1" t="str">
        <f>_xlfn.XLOOKUP(Table15[[#This Row],[EmpID]],[1]Sheet1!$A$1:$A$201,[1]Sheet1!$B$1:$B$201,"Not Found",0,-1)</f>
        <v>Meera Nambiar</v>
      </c>
      <c r="C129" s="1"/>
      <c r="D129" s="1"/>
      <c r="E129" s="8"/>
      <c r="F129" s="1"/>
    </row>
    <row r="130" spans="1:6" x14ac:dyDescent="0.3">
      <c r="A130" s="2" t="s">
        <v>133</v>
      </c>
      <c r="B130" s="1" t="str">
        <f>_xlfn.XLOOKUP(Table15[[#This Row],[EmpID]],[1]Sheet1!$A$1:$A$201,[1]Sheet1!$B$1:$B$201,"Not Found",0,-1)</f>
        <v>Pranav Kulkarni</v>
      </c>
      <c r="C130" s="1"/>
      <c r="D130" s="1"/>
      <c r="E130" s="8"/>
      <c r="F130" s="1"/>
    </row>
    <row r="131" spans="1:6" x14ac:dyDescent="0.3">
      <c r="A131" s="2" t="s">
        <v>134</v>
      </c>
      <c r="B131" s="1" t="str">
        <f>_xlfn.XLOOKUP(Table15[[#This Row],[EmpID]],[1]Sheet1!$A$1:$A$201,[1]Sheet1!$B$1:$B$201,"Not Found",0,-1)</f>
        <v>Sunita Dutta</v>
      </c>
      <c r="C131" s="1"/>
      <c r="D131" s="1"/>
      <c r="E131" s="8"/>
      <c r="F131" s="1"/>
    </row>
    <row r="132" spans="1:6" x14ac:dyDescent="0.3">
      <c r="A132" s="2" t="s">
        <v>135</v>
      </c>
      <c r="B132" s="1" t="str">
        <f>_xlfn.XLOOKUP(Table15[[#This Row],[EmpID]],[1]Sheet1!$A$1:$A$201,[1]Sheet1!$B$1:$B$201,"Not Found",0,-1)</f>
        <v>Arnav Sharma</v>
      </c>
      <c r="C132" s="1"/>
      <c r="D132" s="1"/>
      <c r="E132" s="8"/>
      <c r="F132" s="1"/>
    </row>
    <row r="133" spans="1:6" x14ac:dyDescent="0.3">
      <c r="A133" s="2" t="s">
        <v>136</v>
      </c>
      <c r="B133" s="1" t="str">
        <f>_xlfn.XLOOKUP(Table15[[#This Row],[EmpID]],[1]Sheet1!$A$1:$A$201,[1]Sheet1!$B$1:$B$201,"Not Found",0,-1)</f>
        <v>Anita Verma</v>
      </c>
      <c r="C133" s="1"/>
      <c r="D133" s="1"/>
      <c r="E133" s="8"/>
      <c r="F133" s="1"/>
    </row>
    <row r="134" spans="1:6" x14ac:dyDescent="0.3">
      <c r="A134" s="2" t="s">
        <v>137</v>
      </c>
      <c r="B134" s="1" t="str">
        <f>_xlfn.XLOOKUP(Table15[[#This Row],[EmpID]],[1]Sheet1!$A$1:$A$201,[1]Sheet1!$B$1:$B$201,"Not Found",0,-1)</f>
        <v>Krishna Menon</v>
      </c>
      <c r="C134" s="1"/>
      <c r="D134" s="1"/>
      <c r="E134" s="8"/>
      <c r="F134" s="1"/>
    </row>
    <row r="135" spans="1:6" x14ac:dyDescent="0.3">
      <c r="A135" s="2" t="s">
        <v>138</v>
      </c>
      <c r="B135" s="1" t="str">
        <f>_xlfn.XLOOKUP(Table15[[#This Row],[EmpID]],[1]Sheet1!$A$1:$A$201,[1]Sheet1!$B$1:$B$201,"Not Found",0,-1)</f>
        <v>Rekha Malhotra</v>
      </c>
      <c r="C135" s="1"/>
      <c r="D135" s="1"/>
      <c r="E135" s="8"/>
      <c r="F135" s="1"/>
    </row>
    <row r="136" spans="1:6" x14ac:dyDescent="0.3">
      <c r="A136" s="2" t="s">
        <v>139</v>
      </c>
      <c r="B136" s="1" t="str">
        <f>_xlfn.XLOOKUP(Table15[[#This Row],[EmpID]],[1]Sheet1!$A$1:$A$201,[1]Sheet1!$B$1:$B$201,"Not Found",0,-1)</f>
        <v>Rahul Chopra</v>
      </c>
      <c r="C136" s="1"/>
      <c r="D136" s="1"/>
      <c r="E136" s="8"/>
      <c r="F136" s="1"/>
    </row>
    <row r="137" spans="1:6" x14ac:dyDescent="0.3">
      <c r="A137" s="2" t="s">
        <v>140</v>
      </c>
      <c r="B137" s="1" t="str">
        <f>_xlfn.XLOOKUP(Table15[[#This Row],[EmpID]],[1]Sheet1!$A$1:$A$201,[1]Sheet1!$B$1:$B$201,"Not Found",0,-1)</f>
        <v>Neha Bhattacharya</v>
      </c>
      <c r="C137" s="1"/>
      <c r="D137" s="1"/>
      <c r="E137" s="8"/>
      <c r="F137" s="1"/>
    </row>
    <row r="138" spans="1:6" x14ac:dyDescent="0.3">
      <c r="A138" s="2" t="s">
        <v>141</v>
      </c>
      <c r="B138" s="1" t="str">
        <f>_xlfn.XLOOKUP(Table15[[#This Row],[EmpID]],[1]Sheet1!$A$1:$A$201,[1]Sheet1!$B$1:$B$201,"Not Found",0,-1)</f>
        <v>Pradeep Iyer</v>
      </c>
      <c r="C138" s="1"/>
      <c r="D138" s="1"/>
      <c r="E138" s="8"/>
      <c r="F138" s="1"/>
    </row>
    <row r="139" spans="1:6" x14ac:dyDescent="0.3">
      <c r="A139" s="2" t="s">
        <v>142</v>
      </c>
      <c r="B139" s="1" t="str">
        <f>_xlfn.XLOOKUP(Table15[[#This Row],[EmpID]],[1]Sheet1!$A$1:$A$201,[1]Sheet1!$B$1:$B$201,"Not Found",0,-1)</f>
        <v>Ankita Ghosh</v>
      </c>
      <c r="C139" s="1"/>
      <c r="D139" s="1"/>
      <c r="E139" s="8"/>
      <c r="F139" s="1"/>
    </row>
    <row r="140" spans="1:6" x14ac:dyDescent="0.3">
      <c r="A140" s="2" t="s">
        <v>143</v>
      </c>
      <c r="B140" s="1" t="str">
        <f>_xlfn.XLOOKUP(Table15[[#This Row],[EmpID]],[1]Sheet1!$A$1:$A$201,[1]Sheet1!$B$1:$B$201,"Not Found",0,-1)</f>
        <v>Manish Nair</v>
      </c>
      <c r="C140" s="1"/>
      <c r="D140" s="1"/>
      <c r="E140" s="8"/>
      <c r="F140" s="1"/>
    </row>
    <row r="141" spans="1:6" x14ac:dyDescent="0.3">
      <c r="A141" s="2" t="s">
        <v>144</v>
      </c>
      <c r="B141" s="1" t="str">
        <f>_xlfn.XLOOKUP(Table15[[#This Row],[EmpID]],[1]Sheet1!$A$1:$A$201,[1]Sheet1!$B$1:$B$201,"Not Found",0,-1)</f>
        <v>Divya Kulkarni</v>
      </c>
      <c r="C141" s="1"/>
      <c r="D141" s="1"/>
      <c r="E141" s="8"/>
      <c r="F141" s="1"/>
    </row>
    <row r="142" spans="1:6" x14ac:dyDescent="0.3">
      <c r="A142" s="2" t="s">
        <v>145</v>
      </c>
      <c r="B142" s="1" t="str">
        <f>_xlfn.XLOOKUP(Table15[[#This Row],[EmpID]],[1]Sheet1!$A$1:$A$201,[1]Sheet1!$B$1:$B$201,"Not Found",0,-1)</f>
        <v>Aditya Shah</v>
      </c>
      <c r="C142" s="1"/>
      <c r="D142" s="1"/>
      <c r="E142" s="8"/>
      <c r="F142" s="1"/>
    </row>
    <row r="143" spans="1:6" x14ac:dyDescent="0.3">
      <c r="A143" s="2" t="s">
        <v>146</v>
      </c>
      <c r="B143" s="1" t="str">
        <f>_xlfn.XLOOKUP(Table15[[#This Row],[EmpID]],[1]Sheet1!$A$1:$A$201,[1]Sheet1!$B$1:$B$201,"Not Found",0,-1)</f>
        <v>Shalini Menon</v>
      </c>
      <c r="C143" s="1"/>
      <c r="D143" s="1"/>
      <c r="E143" s="8"/>
      <c r="F143" s="1"/>
    </row>
    <row r="144" spans="1:6" x14ac:dyDescent="0.3">
      <c r="A144" s="2" t="s">
        <v>147</v>
      </c>
      <c r="B144" s="1" t="str">
        <f>_xlfn.XLOOKUP(Table15[[#This Row],[EmpID]],[1]Sheet1!$A$1:$A$201,[1]Sheet1!$B$1:$B$201,"Not Found",0,-1)</f>
        <v>Arjun Bhat</v>
      </c>
      <c r="C144" s="1"/>
      <c r="D144" s="1"/>
      <c r="E144" s="8"/>
      <c r="F144" s="1"/>
    </row>
    <row r="145" spans="1:6" x14ac:dyDescent="0.3">
      <c r="A145" s="2" t="s">
        <v>148</v>
      </c>
      <c r="B145" s="1" t="str">
        <f>_xlfn.XLOOKUP(Table15[[#This Row],[EmpID]],[1]Sheet1!$A$1:$A$201,[1]Sheet1!$B$1:$B$201,"Not Found",0,-1)</f>
        <v>Neeta Gupta</v>
      </c>
      <c r="C145" s="1"/>
      <c r="D145" s="1"/>
      <c r="E145" s="8"/>
      <c r="F145" s="1"/>
    </row>
    <row r="146" spans="1:6" x14ac:dyDescent="0.3">
      <c r="A146" s="2" t="s">
        <v>149</v>
      </c>
      <c r="B146" s="1" t="str">
        <f>_xlfn.XLOOKUP(Table15[[#This Row],[EmpID]],[1]Sheet1!$A$1:$A$201,[1]Sheet1!$B$1:$B$201,"Not Found",0,-1)</f>
        <v>Prerna Kapoor</v>
      </c>
      <c r="C146" s="1"/>
      <c r="D146" s="1"/>
      <c r="E146" s="8"/>
      <c r="F146" s="1"/>
    </row>
    <row r="147" spans="1:6" x14ac:dyDescent="0.3">
      <c r="A147" s="2" t="s">
        <v>150</v>
      </c>
      <c r="B147" s="1" t="str">
        <f>_xlfn.XLOOKUP(Table15[[#This Row],[EmpID]],[1]Sheet1!$A$1:$A$201,[1]Sheet1!$B$1:$B$201,"Not Found",0,-1)</f>
        <v>Rajiv Desai</v>
      </c>
      <c r="C147" s="1"/>
      <c r="D147" s="1"/>
      <c r="E147" s="8"/>
      <c r="F147" s="1"/>
    </row>
    <row r="148" spans="1:6" x14ac:dyDescent="0.3">
      <c r="A148" s="2" t="s">
        <v>151</v>
      </c>
      <c r="B148" s="1" t="str">
        <f>_xlfn.XLOOKUP(Table15[[#This Row],[EmpID]],[1]Sheet1!$A$1:$A$201,[1]Sheet1!$B$1:$B$201,"Not Found",0,-1)</f>
        <v>Anupama Rao</v>
      </c>
      <c r="C148" s="1"/>
      <c r="D148" s="1"/>
      <c r="E148" s="8"/>
      <c r="F148" s="1"/>
    </row>
    <row r="149" spans="1:6" x14ac:dyDescent="0.3">
      <c r="A149" s="2" t="s">
        <v>152</v>
      </c>
      <c r="B149" s="1" t="str">
        <f>_xlfn.XLOOKUP(Table15[[#This Row],[EmpID]],[1]Sheet1!$A$1:$A$201,[1]Sheet1!$B$1:$B$201,"Not Found",0,-1)</f>
        <v>Sameer Verma</v>
      </c>
      <c r="C149" s="1"/>
      <c r="D149" s="1"/>
      <c r="E149" s="8"/>
      <c r="F149" s="1"/>
    </row>
    <row r="150" spans="1:6" x14ac:dyDescent="0.3">
      <c r="A150" s="2" t="s">
        <v>153</v>
      </c>
      <c r="B150" s="1" t="str">
        <f>_xlfn.XLOOKUP(Table15[[#This Row],[EmpID]],[1]Sheet1!$A$1:$A$201,[1]Sheet1!$B$1:$B$201,"Not Found",0,-1)</f>
        <v>Meera Singh</v>
      </c>
      <c r="C150" s="1"/>
      <c r="D150" s="1"/>
      <c r="E150" s="8"/>
      <c r="F150" s="1"/>
    </row>
    <row r="151" spans="1:6" x14ac:dyDescent="0.3">
      <c r="A151" s="2" t="s">
        <v>154</v>
      </c>
      <c r="B151" s="1" t="str">
        <f>_xlfn.XLOOKUP(Table15[[#This Row],[EmpID]],[1]Sheet1!$A$1:$A$201,[1]Sheet1!$B$1:$B$201,"Not Found",0,-1)</f>
        <v>Arun Menon</v>
      </c>
      <c r="C151" s="1"/>
      <c r="D151" s="1"/>
      <c r="E151" s="8"/>
      <c r="F151" s="1"/>
    </row>
    <row r="152" spans="1:6" x14ac:dyDescent="0.3">
      <c r="A152" s="2" t="s">
        <v>155</v>
      </c>
      <c r="B152" s="1" t="str">
        <f>_xlfn.XLOOKUP(Table15[[#This Row],[EmpID]],[1]Sheet1!$A$1:$A$201,[1]Sheet1!$B$1:$B$201,"Not Found",0,-1)</f>
        <v>Neeraj Gupta</v>
      </c>
      <c r="C152" s="1"/>
      <c r="D152" s="1"/>
      <c r="E152" s="8"/>
      <c r="F152" s="1"/>
    </row>
    <row r="153" spans="1:6" x14ac:dyDescent="0.3">
      <c r="A153" s="2" t="s">
        <v>156</v>
      </c>
      <c r="B153" s="1" t="str">
        <f>_xlfn.XLOOKUP(Table15[[#This Row],[EmpID]],[1]Sheet1!$A$1:$A$201,[1]Sheet1!$B$1:$B$201,"Not Found",0,-1)</f>
        <v>Shweta Sharma</v>
      </c>
      <c r="C153" s="1"/>
      <c r="D153" s="1"/>
      <c r="E153" s="8"/>
      <c r="F153" s="1"/>
    </row>
    <row r="154" spans="1:6" x14ac:dyDescent="0.3">
      <c r="A154" s="2" t="s">
        <v>157</v>
      </c>
      <c r="B154" s="1" t="str">
        <f>_xlfn.XLOOKUP(Table15[[#This Row],[EmpID]],[1]Sheet1!$A$1:$A$201,[1]Sheet1!$B$1:$B$201,"Not Found",0,-1)</f>
        <v>Pratik Patel</v>
      </c>
      <c r="C154" s="1"/>
      <c r="D154" s="1"/>
      <c r="E154" s="8"/>
      <c r="F154" s="1"/>
    </row>
    <row r="155" spans="1:6" x14ac:dyDescent="0.3">
      <c r="A155" s="2" t="s">
        <v>158</v>
      </c>
      <c r="B155" s="1" t="str">
        <f>_xlfn.XLOOKUP(Table15[[#This Row],[EmpID]],[1]Sheet1!$A$1:$A$201,[1]Sheet1!$B$1:$B$201,"Not Found",0,-1)</f>
        <v>Anjali Chawla</v>
      </c>
      <c r="C155" s="1"/>
      <c r="D155" s="1"/>
      <c r="E155" s="8"/>
      <c r="F155" s="1"/>
    </row>
    <row r="156" spans="1:6" x14ac:dyDescent="0.3">
      <c r="A156" s="2" t="s">
        <v>159</v>
      </c>
      <c r="B156" s="1" t="str">
        <f>_xlfn.XLOOKUP(Table15[[#This Row],[EmpID]],[1]Sheet1!$A$1:$A$201,[1]Sheet1!$B$1:$B$201,"Not Found",0,-1)</f>
        <v>Rohit Bhatt</v>
      </c>
      <c r="C156" s="1"/>
      <c r="D156" s="1"/>
      <c r="E156" s="8"/>
      <c r="F156" s="1"/>
    </row>
    <row r="157" spans="1:6" x14ac:dyDescent="0.3">
      <c r="A157" s="2" t="s">
        <v>160</v>
      </c>
      <c r="B157" s="1" t="str">
        <f>_xlfn.XLOOKUP(Table15[[#This Row],[EmpID]],[1]Sheet1!$A$1:$A$201,[1]Sheet1!$B$1:$B$201,"Not Found",0,-1)</f>
        <v>Divya Reddy</v>
      </c>
      <c r="C157" s="1"/>
      <c r="D157" s="1"/>
      <c r="E157" s="8"/>
      <c r="F157" s="1"/>
    </row>
    <row r="158" spans="1:6" x14ac:dyDescent="0.3">
      <c r="A158" s="2" t="s">
        <v>161</v>
      </c>
      <c r="B158" s="1" t="str">
        <f>_xlfn.XLOOKUP(Table15[[#This Row],[EmpID]],[1]Sheet1!$A$1:$A$201,[1]Sheet1!$B$1:$B$201,"Not Found",0,-1)</f>
        <v>Sunil Iyer</v>
      </c>
      <c r="C158" s="1"/>
      <c r="D158" s="1"/>
      <c r="E158" s="8"/>
      <c r="F158" s="1"/>
    </row>
    <row r="159" spans="1:6" x14ac:dyDescent="0.3">
      <c r="A159" s="2" t="s">
        <v>162</v>
      </c>
      <c r="B159" s="1" t="str">
        <f>_xlfn.XLOOKUP(Table15[[#This Row],[EmpID]],[1]Sheet1!$A$1:$A$201,[1]Sheet1!$B$1:$B$201,"Not Found",0,-1)</f>
        <v>Megha Banerjee</v>
      </c>
      <c r="C159" s="1"/>
      <c r="D159" s="1"/>
      <c r="E159" s="8"/>
      <c r="F159" s="1"/>
    </row>
    <row r="160" spans="1:6" x14ac:dyDescent="0.3">
      <c r="A160" s="2" t="s">
        <v>163</v>
      </c>
      <c r="B160" s="1" t="str">
        <f>_xlfn.XLOOKUP(Table15[[#This Row],[EmpID]],[1]Sheet1!$A$1:$A$201,[1]Sheet1!$B$1:$B$201,"Not Found",0,-1)</f>
        <v>Arvind Menon</v>
      </c>
      <c r="C160" s="1"/>
      <c r="D160" s="1"/>
      <c r="E160" s="8"/>
      <c r="F160" s="1"/>
    </row>
    <row r="161" spans="1:6" x14ac:dyDescent="0.3">
      <c r="A161" s="2" t="s">
        <v>164</v>
      </c>
      <c r="B161" s="1" t="str">
        <f>_xlfn.XLOOKUP(Table15[[#This Row],[EmpID]],[1]Sheet1!$A$1:$A$201,[1]Sheet1!$B$1:$B$201,"Not Found",0,-1)</f>
        <v>Anita Saini</v>
      </c>
      <c r="C161" s="1"/>
      <c r="D161" s="1"/>
      <c r="E161" s="8"/>
      <c r="F161" s="1"/>
    </row>
    <row r="162" spans="1:6" x14ac:dyDescent="0.3">
      <c r="A162" s="2" t="s">
        <v>165</v>
      </c>
      <c r="B162" s="1" t="str">
        <f>_xlfn.XLOOKUP(Table15[[#This Row],[EmpID]],[1]Sheet1!$A$1:$A$201,[1]Sheet1!$B$1:$B$201,"Not Found",0,-1)</f>
        <v>Prakash Sharma</v>
      </c>
      <c r="C162" s="1"/>
      <c r="D162" s="1"/>
      <c r="E162" s="8"/>
      <c r="F162" s="1"/>
    </row>
    <row r="163" spans="1:6" x14ac:dyDescent="0.3">
      <c r="A163" s="2" t="s">
        <v>166</v>
      </c>
      <c r="B163" s="1" t="str">
        <f>_xlfn.XLOOKUP(Table15[[#This Row],[EmpID]],[1]Sheet1!$A$1:$A$201,[1]Sheet1!$B$1:$B$201,"Not Found",0,-1)</f>
        <v>Neha Verma</v>
      </c>
      <c r="C163" s="1"/>
      <c r="D163" s="1"/>
      <c r="E163" s="8"/>
      <c r="F163" s="1"/>
    </row>
    <row r="164" spans="1:6" x14ac:dyDescent="0.3">
      <c r="A164" s="2" t="s">
        <v>167</v>
      </c>
      <c r="B164" s="1" t="str">
        <f>_xlfn.XLOOKUP(Table15[[#This Row],[EmpID]],[1]Sheet1!$A$1:$A$201,[1]Sheet1!$B$1:$B$201,"Not Found",0,-1)</f>
        <v>Aditya Joshi</v>
      </c>
      <c r="C164" s="1"/>
      <c r="D164" s="1"/>
      <c r="E164" s="8"/>
      <c r="F164" s="1"/>
    </row>
    <row r="165" spans="1:6" x14ac:dyDescent="0.3">
      <c r="A165" s="2" t="s">
        <v>168</v>
      </c>
      <c r="B165" s="1" t="str">
        <f>_xlfn.XLOOKUP(Table15[[#This Row],[EmpID]],[1]Sheet1!$A$1:$A$201,[1]Sheet1!$B$1:$B$201,"Not Found",0,-1)</f>
        <v>Shweta Kapoor</v>
      </c>
      <c r="C165" s="1"/>
      <c r="D165" s="1"/>
      <c r="E165" s="8"/>
      <c r="F165" s="1"/>
    </row>
    <row r="166" spans="1:6" x14ac:dyDescent="0.3">
      <c r="A166" s="2" t="s">
        <v>169</v>
      </c>
      <c r="B166" s="1" t="str">
        <f>_xlfn.XLOOKUP(Table15[[#This Row],[EmpID]],[1]Sheet1!$A$1:$A$201,[1]Sheet1!$B$1:$B$201,"Not Found",0,-1)</f>
        <v>Manish Reddy</v>
      </c>
      <c r="C166" s="1"/>
      <c r="D166" s="1"/>
      <c r="E166" s="8"/>
      <c r="F166" s="1"/>
    </row>
    <row r="167" spans="1:6" x14ac:dyDescent="0.3">
      <c r="A167" s="2" t="s">
        <v>170</v>
      </c>
      <c r="B167" s="1" t="str">
        <f>_xlfn.XLOOKUP(Table15[[#This Row],[EmpID]],[1]Sheet1!$A$1:$A$201,[1]Sheet1!$B$1:$B$201,"Not Found",0,-1)</f>
        <v>Anjali Dutta</v>
      </c>
      <c r="C167" s="1"/>
      <c r="D167" s="1"/>
      <c r="E167" s="8"/>
      <c r="F167" s="1"/>
    </row>
    <row r="168" spans="1:6" x14ac:dyDescent="0.3">
      <c r="A168" s="2" t="s">
        <v>171</v>
      </c>
      <c r="B168" s="1" t="str">
        <f>_xlfn.XLOOKUP(Table15[[#This Row],[EmpID]],[1]Sheet1!$A$1:$A$201,[1]Sheet1!$B$1:$B$201,"Not Found",0,-1)</f>
        <v>Rajesh Iyer</v>
      </c>
      <c r="C168" s="1"/>
      <c r="D168" s="1"/>
      <c r="E168" s="8"/>
      <c r="F168" s="1"/>
    </row>
    <row r="169" spans="1:6" x14ac:dyDescent="0.3">
      <c r="A169" s="2" t="s">
        <v>172</v>
      </c>
      <c r="B169" s="1" t="str">
        <f>_xlfn.XLOOKUP(Table15[[#This Row],[EmpID]],[1]Sheet1!$A$1:$A$201,[1]Sheet1!$B$1:$B$201,"Not Found",0,-1)</f>
        <v>Meera Shah</v>
      </c>
      <c r="C169" s="1"/>
      <c r="D169" s="1"/>
      <c r="E169" s="8"/>
      <c r="F169" s="1"/>
    </row>
    <row r="170" spans="1:6" x14ac:dyDescent="0.3">
      <c r="A170" s="2" t="s">
        <v>173</v>
      </c>
      <c r="B170" s="1" t="str">
        <f>_xlfn.XLOOKUP(Table15[[#This Row],[EmpID]],[1]Sheet1!$A$1:$A$201,[1]Sheet1!$B$1:$B$201,"Not Found",0,-1)</f>
        <v>Pranav Sood</v>
      </c>
      <c r="C170" s="1"/>
      <c r="D170" s="1"/>
      <c r="E170" s="8"/>
      <c r="F170" s="1"/>
    </row>
    <row r="171" spans="1:6" x14ac:dyDescent="0.3">
      <c r="A171" s="2" t="s">
        <v>174</v>
      </c>
      <c r="B171" s="1" t="str">
        <f>_xlfn.XLOOKUP(Table15[[#This Row],[EmpID]],[1]Sheet1!$A$1:$A$201,[1]Sheet1!$B$1:$B$201,"Not Found",0,-1)</f>
        <v>Sunita Menon</v>
      </c>
      <c r="C171" s="1"/>
      <c r="D171" s="1"/>
      <c r="E171" s="8"/>
      <c r="F171" s="1"/>
    </row>
    <row r="172" spans="1:6" x14ac:dyDescent="0.3">
      <c r="A172" s="2" t="s">
        <v>175</v>
      </c>
      <c r="B172" s="1" t="str">
        <f>_xlfn.XLOOKUP(Table15[[#This Row],[EmpID]],[1]Sheet1!$A$1:$A$201,[1]Sheet1!$B$1:$B$201,"Not Found",0,-1)</f>
        <v>Arjun Chopra</v>
      </c>
      <c r="C172" s="1"/>
      <c r="D172" s="1"/>
      <c r="E172" s="8"/>
      <c r="F172" s="1"/>
    </row>
    <row r="173" spans="1:6" x14ac:dyDescent="0.3">
      <c r="A173" s="2" t="s">
        <v>176</v>
      </c>
      <c r="B173" s="1" t="str">
        <f>_xlfn.XLOOKUP(Table15[[#This Row],[EmpID]],[1]Sheet1!$A$1:$A$201,[1]Sheet1!$B$1:$B$201,"Not Found",0,-1)</f>
        <v>Neha Nair</v>
      </c>
      <c r="C173" s="1"/>
      <c r="D173" s="1"/>
      <c r="E173" s="8"/>
      <c r="F173" s="1"/>
    </row>
    <row r="174" spans="1:6" x14ac:dyDescent="0.3">
      <c r="A174" s="2" t="s">
        <v>177</v>
      </c>
      <c r="B174" s="1" t="str">
        <f>_xlfn.XLOOKUP(Table15[[#This Row],[EmpID]],[1]Sheet1!$A$1:$A$201,[1]Sheet1!$B$1:$B$201,"Not Found",0,-1)</f>
        <v>Devanshi Gupta</v>
      </c>
      <c r="C174" s="1"/>
      <c r="D174" s="1"/>
      <c r="E174" s="8"/>
      <c r="F174" s="1"/>
    </row>
    <row r="175" spans="1:6" x14ac:dyDescent="0.3">
      <c r="A175" s="2" t="s">
        <v>178</v>
      </c>
      <c r="B175" s="1" t="str">
        <f>_xlfn.XLOOKUP(Table15[[#This Row],[EmpID]],[1]Sheet1!$A$1:$A$201,[1]Sheet1!$B$1:$B$201,"Not Found",0,-1)</f>
        <v>Rakesh Verma</v>
      </c>
      <c r="C175" s="1"/>
      <c r="D175" s="1"/>
      <c r="E175" s="8"/>
      <c r="F175" s="1"/>
    </row>
    <row r="176" spans="1:6" x14ac:dyDescent="0.3">
      <c r="A176" s="2" t="s">
        <v>179</v>
      </c>
      <c r="B176" s="1" t="str">
        <f>_xlfn.XLOOKUP(Table15[[#This Row],[EmpID]],[1]Sheet1!$A$1:$A$201,[1]Sheet1!$B$1:$B$201,"Not Found",0,-1)</f>
        <v>Shreya Patel</v>
      </c>
      <c r="C176" s="1"/>
      <c r="D176" s="1"/>
      <c r="E176" s="8"/>
      <c r="F176" s="1"/>
    </row>
    <row r="177" spans="1:6" x14ac:dyDescent="0.3">
      <c r="A177" s="2" t="s">
        <v>180</v>
      </c>
      <c r="B177" s="1" t="str">
        <f>_xlfn.XLOOKUP(Table15[[#This Row],[EmpID]],[1]Sheet1!$A$1:$A$201,[1]Sheet1!$B$1:$B$201,"Not Found",0,-1)</f>
        <v>Anil Menon</v>
      </c>
      <c r="C177" s="1"/>
      <c r="D177" s="1"/>
      <c r="E177" s="8"/>
      <c r="F177" s="1"/>
    </row>
    <row r="178" spans="1:6" x14ac:dyDescent="0.3">
      <c r="A178" s="2" t="s">
        <v>181</v>
      </c>
      <c r="B178" s="1" t="str">
        <f>_xlfn.XLOOKUP(Table15[[#This Row],[EmpID]],[1]Sheet1!$A$1:$A$201,[1]Sheet1!$B$1:$B$201,"Not Found",0,-1)</f>
        <v>Rekha Bhat</v>
      </c>
      <c r="C178" s="1"/>
      <c r="D178" s="1"/>
      <c r="E178" s="8"/>
      <c r="F178" s="1"/>
    </row>
    <row r="179" spans="1:6" x14ac:dyDescent="0.3">
      <c r="A179" s="2" t="s">
        <v>182</v>
      </c>
      <c r="B179" s="1" t="str">
        <f>_xlfn.XLOOKUP(Table15[[#This Row],[EmpID]],[1]Sheet1!$A$1:$A$201,[1]Sheet1!$B$1:$B$201,"Not Found",0,-1)</f>
        <v>Pratik Ghosh</v>
      </c>
      <c r="C179" s="1"/>
      <c r="D179" s="1"/>
      <c r="E179" s="8"/>
      <c r="F179" s="1"/>
    </row>
    <row r="180" spans="1:6" x14ac:dyDescent="0.3">
      <c r="A180" s="2" t="s">
        <v>183</v>
      </c>
      <c r="B180" s="1" t="str">
        <f>_xlfn.XLOOKUP(Table15[[#This Row],[EmpID]],[1]Sheet1!$A$1:$A$201,[1]Sheet1!$B$1:$B$201,"Not Found",0,-1)</f>
        <v>Manish Kapoor</v>
      </c>
      <c r="C180" s="1"/>
      <c r="D180" s="1"/>
      <c r="E180" s="8"/>
      <c r="F180" s="1"/>
    </row>
    <row r="181" spans="1:6" x14ac:dyDescent="0.3">
      <c r="A181" s="2" t="s">
        <v>184</v>
      </c>
      <c r="B181" s="1" t="str">
        <f>_xlfn.XLOOKUP(Table15[[#This Row],[EmpID]],[1]Sheet1!$A$1:$A$201,[1]Sheet1!$B$1:$B$201,"Not Found",0,-1)</f>
        <v>Divya Nambiar</v>
      </c>
      <c r="C181" s="1"/>
      <c r="D181" s="1"/>
      <c r="E181" s="8"/>
      <c r="F181" s="1"/>
    </row>
    <row r="182" spans="1:6" x14ac:dyDescent="0.3">
      <c r="A182" s="2" t="s">
        <v>185</v>
      </c>
      <c r="B182" s="1" t="str">
        <f>_xlfn.XLOOKUP(Table15[[#This Row],[EmpID]],[1]Sheet1!$A$1:$A$201,[1]Sheet1!$B$1:$B$201,"Not Found",0,-1)</f>
        <v>Arjun Kumar</v>
      </c>
      <c r="C182" s="1"/>
      <c r="D182" s="1"/>
      <c r="E182" s="8"/>
      <c r="F182" s="1"/>
    </row>
    <row r="183" spans="1:6" x14ac:dyDescent="0.3">
      <c r="A183" s="2" t="s">
        <v>186</v>
      </c>
      <c r="B183" s="1" t="str">
        <f>_xlfn.XLOOKUP(Table15[[#This Row],[EmpID]],[1]Sheet1!$A$1:$A$201,[1]Sheet1!$B$1:$B$201,"Not Found",0,-1)</f>
        <v>Shalini Iqbal</v>
      </c>
      <c r="C183" s="1"/>
      <c r="D183" s="1"/>
      <c r="E183" s="8"/>
      <c r="F183" s="1"/>
    </row>
    <row r="184" spans="1:6" x14ac:dyDescent="0.3">
      <c r="A184" s="2" t="s">
        <v>187</v>
      </c>
      <c r="B184" s="1" t="str">
        <f>_xlfn.XLOOKUP(Table15[[#This Row],[EmpID]],[1]Sheet1!$A$1:$A$201,[1]Sheet1!$B$1:$B$201,"Not Found",0,-1)</f>
        <v>Krishna Sharma</v>
      </c>
      <c r="C184" s="1"/>
      <c r="D184" s="1"/>
      <c r="E184" s="8"/>
      <c r="F184" s="1"/>
    </row>
    <row r="185" spans="1:6" x14ac:dyDescent="0.3">
      <c r="A185" s="2" t="s">
        <v>188</v>
      </c>
      <c r="B185" s="1" t="str">
        <f>_xlfn.XLOOKUP(Table15[[#This Row],[EmpID]],[1]Sheet1!$A$1:$A$201,[1]Sheet1!$B$1:$B$201,"Not Found",0,-1)</f>
        <v>Neeta Menon</v>
      </c>
      <c r="C185" s="1"/>
      <c r="D185" s="1"/>
      <c r="E185" s="8"/>
      <c r="F185" s="1"/>
    </row>
    <row r="186" spans="1:6" x14ac:dyDescent="0.3">
      <c r="A186" s="2" t="s">
        <v>189</v>
      </c>
      <c r="B186" s="1" t="str">
        <f>_xlfn.XLOOKUP(Table15[[#This Row],[EmpID]],[1]Sheet1!$A$1:$A$201,[1]Sheet1!$B$1:$B$201,"Not Found",0,-1)</f>
        <v>Rahul Nair</v>
      </c>
      <c r="C186" s="1"/>
      <c r="D186" s="1"/>
      <c r="E186" s="8"/>
      <c r="F186" s="1"/>
    </row>
    <row r="187" spans="1:6" x14ac:dyDescent="0.3">
      <c r="A187" s="2" t="s">
        <v>190</v>
      </c>
      <c r="B187" s="1" t="str">
        <f>_xlfn.XLOOKUP(Table15[[#This Row],[EmpID]],[1]Sheet1!$A$1:$A$201,[1]Sheet1!$B$1:$B$201,"Not Found",0,-1)</f>
        <v>Anita Kulkarni</v>
      </c>
      <c r="C187" s="1"/>
      <c r="D187" s="1"/>
      <c r="E187" s="8"/>
      <c r="F187" s="1"/>
    </row>
    <row r="188" spans="1:6" x14ac:dyDescent="0.3">
      <c r="A188" s="2" t="s">
        <v>191</v>
      </c>
      <c r="B188" s="1" t="str">
        <f>_xlfn.XLOOKUP(Table15[[#This Row],[EmpID]],[1]Sheet1!$A$1:$A$201,[1]Sheet1!$B$1:$B$201,"Not Found",0,-1)</f>
        <v>Praveen Shah</v>
      </c>
      <c r="C188" s="1"/>
      <c r="D188" s="1"/>
      <c r="E188" s="8"/>
      <c r="F188" s="1"/>
    </row>
    <row r="189" spans="1:6" x14ac:dyDescent="0.3">
      <c r="A189" s="2" t="s">
        <v>192</v>
      </c>
      <c r="B189" s="1" t="str">
        <f>_xlfn.XLOOKUP(Table15[[#This Row],[EmpID]],[1]Sheet1!$A$1:$A$201,[1]Sheet1!$B$1:$B$201,"Not Found",0,-1)</f>
        <v>Megha Bhatt</v>
      </c>
      <c r="C189" s="1"/>
      <c r="D189" s="1"/>
      <c r="E189" s="8"/>
      <c r="F189" s="1"/>
    </row>
    <row r="190" spans="1:6" x14ac:dyDescent="0.3">
      <c r="A190" s="2" t="s">
        <v>193</v>
      </c>
      <c r="B190" s="1" t="str">
        <f>_xlfn.XLOOKUP(Table15[[#This Row],[EmpID]],[1]Sheet1!$A$1:$A$201,[1]Sheet1!$B$1:$B$201,"Not Found",0,-1)</f>
        <v>Arvind Gupta</v>
      </c>
      <c r="C190" s="1"/>
      <c r="D190" s="1"/>
      <c r="E190" s="8"/>
      <c r="F190" s="1"/>
    </row>
    <row r="191" spans="1:6" x14ac:dyDescent="0.3">
      <c r="A191" s="2" t="s">
        <v>194</v>
      </c>
      <c r="B191" s="1" t="str">
        <f>_xlfn.XLOOKUP(Table15[[#This Row],[EmpID]],[1]Sheet1!$A$1:$A$201,[1]Sheet1!$B$1:$B$201,"Not Found",0,-1)</f>
        <v>Sunita D'Souza</v>
      </c>
      <c r="C191" s="1"/>
      <c r="D191" s="1"/>
      <c r="E191" s="8"/>
      <c r="F191" s="1"/>
    </row>
    <row r="192" spans="1:6" x14ac:dyDescent="0.3">
      <c r="A192" s="2" t="s">
        <v>195</v>
      </c>
      <c r="B192" s="1" t="str">
        <f>_xlfn.XLOOKUP(Table15[[#This Row],[EmpID]],[1]Sheet1!$A$1:$A$201,[1]Sheet1!$B$1:$B$201,"Not Found",0,-1)</f>
        <v>Aditya Mehta</v>
      </c>
      <c r="C192" s="1"/>
      <c r="D192" s="1"/>
      <c r="E192" s="8"/>
      <c r="F192" s="1"/>
    </row>
    <row r="193" spans="1:6" x14ac:dyDescent="0.3">
      <c r="A193" s="2" t="s">
        <v>196</v>
      </c>
      <c r="B193" s="1" t="str">
        <f>_xlfn.XLOOKUP(Table15[[#This Row],[EmpID]],[1]Sheet1!$A$1:$A$201,[1]Sheet1!$B$1:$B$201,"Not Found",0,-1)</f>
        <v>Neha Chopra</v>
      </c>
      <c r="C193" s="1"/>
      <c r="D193" s="1"/>
      <c r="E193" s="8"/>
      <c r="F193" s="1"/>
    </row>
    <row r="194" spans="1:6" x14ac:dyDescent="0.3">
      <c r="A194" s="2" t="s">
        <v>197</v>
      </c>
      <c r="B194" s="1" t="str">
        <f>_xlfn.XLOOKUP(Table15[[#This Row],[EmpID]],[1]Sheet1!$A$1:$A$201,[1]Sheet1!$B$1:$B$201,"Not Found",0,-1)</f>
        <v>Devansh Rao</v>
      </c>
      <c r="C194" s="1"/>
      <c r="D194" s="1"/>
      <c r="E194" s="8"/>
      <c r="F194" s="1"/>
    </row>
    <row r="195" spans="1:6" x14ac:dyDescent="0.3">
      <c r="A195" s="2" t="s">
        <v>198</v>
      </c>
      <c r="B195" s="1" t="str">
        <f>_xlfn.XLOOKUP(Table15[[#This Row],[EmpID]],[1]Sheet1!$A$1:$A$201,[1]Sheet1!$B$1:$B$201,"Not Found",0,-1)</f>
        <v>Shreya Menon</v>
      </c>
      <c r="C195" s="1"/>
      <c r="D195" s="1"/>
      <c r="E195" s="8"/>
      <c r="F195" s="1"/>
    </row>
    <row r="196" spans="1:6" x14ac:dyDescent="0.3">
      <c r="A196" s="2" t="s">
        <v>199</v>
      </c>
      <c r="B196" s="1" t="str">
        <f>_xlfn.XLOOKUP(Table15[[#This Row],[EmpID]],[1]Sheet1!$A$1:$A$201,[1]Sheet1!$B$1:$B$201,"Not Found",0,-1)</f>
        <v>Manish Shah</v>
      </c>
      <c r="C196" s="1"/>
      <c r="D196" s="1"/>
      <c r="E196" s="8"/>
      <c r="F196" s="1"/>
    </row>
    <row r="197" spans="1:6" x14ac:dyDescent="0.3">
      <c r="A197" s="2" t="s">
        <v>200</v>
      </c>
      <c r="B197" s="1" t="str">
        <f>_xlfn.XLOOKUP(Table15[[#This Row],[EmpID]],[1]Sheet1!$A$1:$A$201,[1]Sheet1!$B$1:$B$201,"Not Found",0,-1)</f>
        <v>Anjali Iyer</v>
      </c>
      <c r="C197" s="1"/>
      <c r="D197" s="1"/>
      <c r="E197" s="8"/>
      <c r="F197" s="1"/>
    </row>
    <row r="198" spans="1:6" x14ac:dyDescent="0.3">
      <c r="A198" s="2" t="s">
        <v>201</v>
      </c>
      <c r="B198" s="1" t="str">
        <f>_xlfn.XLOOKUP(Table15[[#This Row],[EmpID]],[1]Sheet1!$A$1:$A$201,[1]Sheet1!$B$1:$B$201,"Not Found",0,-1)</f>
        <v>Prakash Bhatt</v>
      </c>
      <c r="C198" s="1"/>
      <c r="D198" s="1"/>
      <c r="E198" s="8"/>
      <c r="F198" s="1"/>
    </row>
    <row r="199" spans="1:6" x14ac:dyDescent="0.3">
      <c r="A199" s="2" t="s">
        <v>202</v>
      </c>
      <c r="B199" s="1" t="str">
        <f>_xlfn.XLOOKUP(Table15[[#This Row],[EmpID]],[1]Sheet1!$A$1:$A$201,[1]Sheet1!$B$1:$B$201,"Not Found",0,-1)</f>
        <v>Meera Ghosh</v>
      </c>
      <c r="C199" s="1"/>
      <c r="D199" s="1"/>
      <c r="E199" s="8"/>
      <c r="F199" s="1"/>
    </row>
    <row r="200" spans="1:6" x14ac:dyDescent="0.3">
      <c r="A200" s="2" t="s">
        <v>203</v>
      </c>
      <c r="B200" s="1" t="str">
        <f>_xlfn.XLOOKUP(Table15[[#This Row],[EmpID]],[1]Sheet1!$A$1:$A$201,[1]Sheet1!$B$1:$B$201,"Not Found",0,-1)</f>
        <v>Arjun Singh</v>
      </c>
      <c r="C200" s="1"/>
      <c r="D200" s="1"/>
      <c r="E200" s="8"/>
      <c r="F200" s="1"/>
    </row>
    <row r="201" spans="1:6" x14ac:dyDescent="0.3">
      <c r="A201" s="6" t="s">
        <v>204</v>
      </c>
      <c r="B201" s="7" t="str">
        <f>_xlfn.XLOOKUP(Table15[[#This Row],[EmpID]],[1]Sheet1!$A$1:$A$201,[1]Sheet1!$B$1:$B$201,"Not Found",0,-1)</f>
        <v>Neeta Patel</v>
      </c>
      <c r="C201" s="7"/>
      <c r="D201" s="7"/>
      <c r="E201" s="9"/>
      <c r="F201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29DE-5DA6-4482-AA2E-09F22B3C3087}">
  <dimension ref="A1:F201"/>
  <sheetViews>
    <sheetView zoomScale="130" zoomScaleNormal="130" workbookViewId="0">
      <selection activeCell="C16" sqref="C16"/>
    </sheetView>
  </sheetViews>
  <sheetFormatPr defaultRowHeight="14.4" x14ac:dyDescent="0.3"/>
  <cols>
    <col min="1" max="1" width="12.21875" customWidth="1"/>
    <col min="2" max="2" width="15.77734375" customWidth="1"/>
    <col min="3" max="3" width="16.33203125" customWidth="1"/>
    <col min="4" max="4" width="11.88671875" customWidth="1"/>
    <col min="5" max="5" width="17.109375" bestFit="1" customWidth="1"/>
    <col min="6" max="6" width="17.109375" customWidth="1"/>
  </cols>
  <sheetData>
    <row r="1" spans="1:6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205</v>
      </c>
    </row>
    <row r="2" spans="1:6" x14ac:dyDescent="0.3">
      <c r="A2" s="14" t="s">
        <v>5</v>
      </c>
      <c r="B2" s="15" t="str" cm="1">
        <f t="array" ref="B2:E2">_xlfn.XLOOKUP(A2,[1]Sheet1!$A$1:$A$201,[1]Sheet1!$B$1:$E$201,"Data Not Found",0)</f>
        <v>Aarav Sharma</v>
      </c>
      <c r="C2" s="15" t="str">
        <v>Sales</v>
      </c>
      <c r="D2" s="15">
        <v>52000</v>
      </c>
      <c r="E2" s="16">
        <v>43536</v>
      </c>
      <c r="F2" s="17"/>
    </row>
    <row r="3" spans="1:6" x14ac:dyDescent="0.3">
      <c r="A3" s="18" t="s">
        <v>6</v>
      </c>
      <c r="B3" s="15" t="str" cm="1">
        <f t="array" ref="B3:E3">_xlfn.XLOOKUP(A3,[1]Sheet1!$A$1:$A$201,[1]Sheet1!$B$1:$E$201,"Data Not Found",0)</f>
        <v>Ananya Verma</v>
      </c>
      <c r="C3" s="15" t="str">
        <v>HR</v>
      </c>
      <c r="D3" s="15">
        <v>48000</v>
      </c>
      <c r="E3" s="16">
        <v>44013</v>
      </c>
      <c r="F3" s="19"/>
    </row>
    <row r="4" spans="1:6" x14ac:dyDescent="0.3">
      <c r="A4" s="14" t="s">
        <v>7</v>
      </c>
      <c r="B4" s="15" t="str" cm="1">
        <f t="array" ref="B4:E4">_xlfn.XLOOKUP(A4,[1]Sheet1!$A$1:$A$201,[1]Sheet1!$B$1:$E$201,"Data Not Found",0)</f>
        <v>Arjun Patel</v>
      </c>
      <c r="C4" s="15" t="str">
        <v>IT</v>
      </c>
      <c r="D4" s="15">
        <v>75000</v>
      </c>
      <c r="E4" s="16">
        <v>43424</v>
      </c>
      <c r="F4" s="17"/>
    </row>
    <row r="5" spans="1:6" x14ac:dyDescent="0.3">
      <c r="A5" s="18" t="s">
        <v>8</v>
      </c>
      <c r="B5" s="15" t="str" cm="1">
        <f t="array" ref="B5:E5">_xlfn.XLOOKUP(A5,[1]Sheet1!$A$1:$A$201,[1]Sheet1!$B$1:$E$201,"Data Not Found",0)</f>
        <v>Divya Kapoor</v>
      </c>
      <c r="C5" s="15" t="str">
        <v>Finance</v>
      </c>
      <c r="D5" s="15">
        <v>61000</v>
      </c>
      <c r="E5" s="16">
        <v>44211</v>
      </c>
      <c r="F5" s="19"/>
    </row>
    <row r="6" spans="1:6" ht="12" customHeight="1" x14ac:dyDescent="0.3">
      <c r="A6" s="14" t="s">
        <v>9</v>
      </c>
      <c r="B6" s="15" t="str" cm="1">
        <f t="array" ref="B6:E6">_xlfn.XLOOKUP(A6,[1]Sheet1!$A$1:$A$201,[1]Sheet1!$B$1:$E$201,"Data Not Found",0)</f>
        <v>Rohan Mehta</v>
      </c>
      <c r="C6" s="15" t="str">
        <v>Marketing</v>
      </c>
      <c r="D6" s="15">
        <v>69000</v>
      </c>
      <c r="E6" s="16">
        <v>42916</v>
      </c>
      <c r="F6" s="17"/>
    </row>
    <row r="7" spans="1:6" x14ac:dyDescent="0.3">
      <c r="A7" s="18" t="s">
        <v>10</v>
      </c>
      <c r="B7" s="15" t="str" cm="1">
        <f t="array" ref="B7:E7">_xlfn.XLOOKUP(A7,[1]Sheet1!$A$1:$A$201,[1]Sheet1!$B$1:$E$201,"Data Not Found",0)</f>
        <v>Neha Singh</v>
      </c>
      <c r="C7" s="15" t="str">
        <v>Operations</v>
      </c>
      <c r="D7" s="15">
        <v>72000</v>
      </c>
      <c r="E7" s="16">
        <v>44809</v>
      </c>
      <c r="F7" s="19"/>
    </row>
    <row r="8" spans="1:6" x14ac:dyDescent="0.3">
      <c r="A8" s="14" t="s">
        <v>11</v>
      </c>
      <c r="B8" s="15" t="str" cm="1">
        <f t="array" ref="B8:E8">_xlfn.XLOOKUP(A8,[1]Sheet1!$A$1:$A$201,[1]Sheet1!$B$1:$E$201,"Data Not Found",0)</f>
        <v>Vikram Rao</v>
      </c>
      <c r="C8" s="15" t="str">
        <v>Legal</v>
      </c>
      <c r="D8" s="15">
        <v>50000</v>
      </c>
      <c r="E8" s="16">
        <v>43809</v>
      </c>
      <c r="F8" s="17"/>
    </row>
    <row r="9" spans="1:6" x14ac:dyDescent="0.3">
      <c r="A9" s="18" t="s">
        <v>12</v>
      </c>
      <c r="B9" s="15" t="str" cm="1">
        <f t="array" ref="B9:E9">_xlfn.XLOOKUP(A9,[1]Sheet1!$A$1:$A$201,[1]Sheet1!$B$1:$E$201,"Data Not Found",0)</f>
        <v>Simran Kaur</v>
      </c>
      <c r="C9" s="15" t="str">
        <v>R&amp;D</v>
      </c>
      <c r="D9" s="15">
        <v>66000</v>
      </c>
      <c r="E9" s="16">
        <v>43886</v>
      </c>
      <c r="F9" s="19"/>
    </row>
    <row r="10" spans="1:6" x14ac:dyDescent="0.3">
      <c r="A10" s="14" t="s">
        <v>13</v>
      </c>
      <c r="B10" s="15" t="str" cm="1">
        <f t="array" ref="B10:E10">_xlfn.XLOOKUP(A10,[1]Sheet1!$A$1:$A$201,[1]Sheet1!$B$1:$E$201,"Data Not Found",0)</f>
        <v>Sameer Kulkarni</v>
      </c>
      <c r="C10" s="15" t="str">
        <v>Support</v>
      </c>
      <c r="D10" s="15">
        <v>58000</v>
      </c>
      <c r="E10" s="16">
        <v>42600</v>
      </c>
      <c r="F10" s="17"/>
    </row>
    <row r="11" spans="1:6" x14ac:dyDescent="0.3">
      <c r="A11" s="18" t="s">
        <v>14</v>
      </c>
      <c r="B11" s="15" t="str" cm="1">
        <f t="array" ref="B11:E11">_xlfn.XLOOKUP(A11,[1]Sheet1!$A$1:$A$201,[1]Sheet1!$B$1:$E$201,"Data Not Found",0)</f>
        <v>Priya Nair</v>
      </c>
      <c r="C11" s="15" t="str">
        <v>Admin</v>
      </c>
      <c r="D11" s="15">
        <v>45000</v>
      </c>
      <c r="E11" s="16">
        <v>42146</v>
      </c>
      <c r="F11" s="19"/>
    </row>
    <row r="12" spans="1:6" x14ac:dyDescent="0.3">
      <c r="A12" s="14" t="s">
        <v>15</v>
      </c>
      <c r="B12" s="15" t="str" cm="1">
        <f t="array" ref="B12:E12">_xlfn.XLOOKUP(A12,[1]Sheet1!$A$1:$A$201,[1]Sheet1!$B$1:$E$201,"Data Not Found",0)</f>
        <v>Kunal Joshi</v>
      </c>
      <c r="C12" s="15" t="str">
        <v>Sales</v>
      </c>
      <c r="D12" s="15">
        <v>80000</v>
      </c>
      <c r="E12" s="16">
        <v>43193</v>
      </c>
      <c r="F12" s="17"/>
    </row>
    <row r="13" spans="1:6" x14ac:dyDescent="0.3">
      <c r="A13" s="18" t="s">
        <v>16</v>
      </c>
      <c r="B13" s="15" t="str" cm="1">
        <f t="array" ref="B13:E13">_xlfn.XLOOKUP(A13,[1]Sheet1!$A$1:$A$201,[1]Sheet1!$B$1:$E$201,"Data Not Found",0)</f>
        <v>Sana Iqbal</v>
      </c>
      <c r="C13" s="15" t="str">
        <v>HR</v>
      </c>
      <c r="D13" s="15">
        <v>54000</v>
      </c>
      <c r="E13" s="16">
        <v>42992</v>
      </c>
      <c r="F13" s="19"/>
    </row>
    <row r="14" spans="1:6" x14ac:dyDescent="0.3">
      <c r="A14" s="14" t="s">
        <v>17</v>
      </c>
      <c r="B14" s="15" t="str" cm="1">
        <f t="array" ref="B14:E14">_xlfn.XLOOKUP(A14,[1]Sheet1!$A$1:$A$201,[1]Sheet1!$B$1:$E$201,"Data Not Found",0)</f>
        <v>Aditya Reddy</v>
      </c>
      <c r="C14" s="15" t="str">
        <v>IT</v>
      </c>
      <c r="D14" s="15">
        <v>47000</v>
      </c>
      <c r="E14" s="16">
        <v>44502</v>
      </c>
      <c r="F14" s="17"/>
    </row>
    <row r="15" spans="1:6" x14ac:dyDescent="0.3">
      <c r="A15" s="18" t="s">
        <v>18</v>
      </c>
      <c r="B15" s="15" t="str" cm="1">
        <f t="array" ref="B15:E15">_xlfn.XLOOKUP(A15,[1]Sheet1!$A$1:$A$201,[1]Sheet1!$B$1:$E$201,"Data Not Found",0)</f>
        <v>Meera Chawla</v>
      </c>
      <c r="C15" s="15" t="str">
        <v>Finance</v>
      </c>
      <c r="D15" s="15">
        <v>90000</v>
      </c>
      <c r="E15" s="16">
        <v>42396</v>
      </c>
      <c r="F15" s="19"/>
    </row>
    <row r="16" spans="1:6" x14ac:dyDescent="0.3">
      <c r="A16" s="14" t="s">
        <v>19</v>
      </c>
      <c r="B16" s="15" t="str" cm="1">
        <f t="array" ref="B16:E16">_xlfn.XLOOKUP(A16,[1]Sheet1!$A$1:$A$201,[1]Sheet1!$B$1:$E$201,"Data Not Found",0)</f>
        <v>Harsh Malhotra</v>
      </c>
      <c r="C16" s="15" t="str">
        <v>Marketing</v>
      </c>
      <c r="D16" s="15">
        <v>62000</v>
      </c>
      <c r="E16" s="16">
        <v>43635</v>
      </c>
      <c r="F16" s="17"/>
    </row>
    <row r="17" spans="1:6" x14ac:dyDescent="0.3">
      <c r="A17" s="18" t="s">
        <v>20</v>
      </c>
      <c r="B17" s="15" t="str" cm="1">
        <f t="array" ref="B17:E17">_xlfn.XLOOKUP(A17,[1]Sheet1!$A$1:$A$201,[1]Sheet1!$B$1:$E$201,"Data Not Found",0)</f>
        <v>Anika Desai</v>
      </c>
      <c r="C17" s="15" t="str">
        <v>Operations</v>
      </c>
      <c r="D17" s="15">
        <v>73000</v>
      </c>
      <c r="E17" s="16">
        <v>44112</v>
      </c>
      <c r="F17" s="19"/>
    </row>
    <row r="18" spans="1:6" x14ac:dyDescent="0.3">
      <c r="A18" s="14" t="s">
        <v>21</v>
      </c>
      <c r="B18" s="15" t="str" cm="1">
        <f t="array" ref="B18:E18">_xlfn.XLOOKUP(A18,[1]Sheet1!$A$1:$A$201,[1]Sheet1!$B$1:$E$201,"Data Not Found",0)</f>
        <v>Prateek Bhat</v>
      </c>
      <c r="C18" s="15" t="str">
        <v>Legal</v>
      </c>
      <c r="D18" s="15">
        <v>56000</v>
      </c>
      <c r="E18" s="16">
        <v>42343</v>
      </c>
      <c r="F18" s="17"/>
    </row>
    <row r="19" spans="1:6" x14ac:dyDescent="0.3">
      <c r="A19" s="18" t="s">
        <v>22</v>
      </c>
      <c r="B19" s="15" t="str" cm="1">
        <f t="array" ref="B19:E19">_xlfn.XLOOKUP(A19,[1]Sheet1!$A$1:$A$201,[1]Sheet1!$B$1:$E$201,"Data Not Found",0)</f>
        <v>Shreya Ghosh</v>
      </c>
      <c r="C19" s="15" t="str">
        <v>R&amp;D</v>
      </c>
      <c r="D19" s="15">
        <v>67000</v>
      </c>
      <c r="E19" s="16">
        <v>43152</v>
      </c>
      <c r="F19" s="19"/>
    </row>
    <row r="20" spans="1:6" x14ac:dyDescent="0.3">
      <c r="A20" s="14" t="s">
        <v>23</v>
      </c>
      <c r="B20" s="15" t="str" cm="1">
        <f t="array" ref="B20:E20">_xlfn.XLOOKUP(A20,[1]Sheet1!$A$1:$A$201,[1]Sheet1!$B$1:$E$201,"Data Not Found",0)</f>
        <v>Manish Sinha</v>
      </c>
      <c r="C20" s="15" t="str">
        <v>Support</v>
      </c>
      <c r="D20" s="15">
        <v>71000</v>
      </c>
      <c r="E20" s="16">
        <v>44650</v>
      </c>
      <c r="F20" s="17"/>
    </row>
    <row r="21" spans="1:6" x14ac:dyDescent="0.3">
      <c r="A21" s="18" t="s">
        <v>24</v>
      </c>
      <c r="B21" s="15" t="str" cm="1">
        <f t="array" ref="B21:E21">_xlfn.XLOOKUP(A21,[1]Sheet1!$A$1:$A$201,[1]Sheet1!$B$1:$E$201,"Data Not Found",0)</f>
        <v>Alisha Menon</v>
      </c>
      <c r="C21" s="15" t="str">
        <v>Admin</v>
      </c>
      <c r="D21" s="15">
        <v>64000</v>
      </c>
      <c r="E21" s="16">
        <v>42927</v>
      </c>
      <c r="F21" s="19"/>
    </row>
    <row r="22" spans="1:6" x14ac:dyDescent="0.3">
      <c r="A22" s="14" t="s">
        <v>25</v>
      </c>
      <c r="B22" s="15" t="str" cm="1">
        <f t="array" ref="B22:E22">_xlfn.XLOOKUP(A22,[1]Sheet1!$A$1:$A$201,[1]Sheet1!$B$1:$E$201,"Data Not Found",0)</f>
        <v>Varun Gupta</v>
      </c>
      <c r="C22" s="15" t="str">
        <v>Sales</v>
      </c>
      <c r="D22" s="15">
        <v>52000</v>
      </c>
      <c r="E22" s="16">
        <v>43474</v>
      </c>
      <c r="F22" s="17"/>
    </row>
    <row r="23" spans="1:6" x14ac:dyDescent="0.3">
      <c r="A23" s="18" t="s">
        <v>26</v>
      </c>
      <c r="B23" s="15" t="str" cm="1">
        <f t="array" ref="B23:E23">_xlfn.XLOOKUP(A23,[1]Sheet1!$A$1:$A$201,[1]Sheet1!$B$1:$E$201,"Data Not Found",0)</f>
        <v>Ritika Sharma</v>
      </c>
      <c r="C23" s="15" t="str">
        <v>HR</v>
      </c>
      <c r="D23" s="15">
        <v>48000</v>
      </c>
      <c r="E23" s="16">
        <v>43967</v>
      </c>
      <c r="F23" s="19"/>
    </row>
    <row r="24" spans="1:6" x14ac:dyDescent="0.3">
      <c r="A24" s="14" t="s">
        <v>27</v>
      </c>
      <c r="B24" s="15" t="str" cm="1">
        <f t="array" ref="B24:E24">_xlfn.XLOOKUP(A24,[1]Sheet1!$A$1:$A$201,[1]Sheet1!$B$1:$E$201,"Data Not Found",0)</f>
        <v>Ankit Agarwal</v>
      </c>
      <c r="C24" s="15" t="str">
        <v>IT</v>
      </c>
      <c r="D24" s="15">
        <v>75000</v>
      </c>
      <c r="E24" s="16">
        <v>43377</v>
      </c>
      <c r="F24" s="17"/>
    </row>
    <row r="25" spans="1:6" x14ac:dyDescent="0.3">
      <c r="A25" s="18" t="s">
        <v>28</v>
      </c>
      <c r="B25" s="15" t="str" cm="1">
        <f t="array" ref="B25:E25">_xlfn.XLOOKUP(A25,[1]Sheet1!$A$1:$A$201,[1]Sheet1!$B$1:$E$201,"Data Not Found",0)</f>
        <v>Deepa Nambiar</v>
      </c>
      <c r="C25" s="15" t="str">
        <v>Finance</v>
      </c>
      <c r="D25" s="15">
        <v>61000</v>
      </c>
      <c r="E25" s="16">
        <v>44247</v>
      </c>
      <c r="F25" s="19"/>
    </row>
    <row r="26" spans="1:6" x14ac:dyDescent="0.3">
      <c r="A26" s="14" t="s">
        <v>29</v>
      </c>
      <c r="B26" s="15" t="str" cm="1">
        <f t="array" ref="B26:E26">_xlfn.XLOOKUP(A26,[1]Sheet1!$A$1:$A$201,[1]Sheet1!$B$1:$E$201,"Data Not Found",0)</f>
        <v>Siddharth Jain</v>
      </c>
      <c r="C26" s="15" t="str">
        <v>Marketing</v>
      </c>
      <c r="D26" s="15">
        <v>69000</v>
      </c>
      <c r="E26" s="16">
        <v>42976</v>
      </c>
      <c r="F26" s="17"/>
    </row>
    <row r="27" spans="1:6" x14ac:dyDescent="0.3">
      <c r="A27" s="18" t="s">
        <v>30</v>
      </c>
      <c r="B27" s="15" t="str" cm="1">
        <f t="array" ref="B27:E27">_xlfn.XLOOKUP(A27,[1]Sheet1!$A$1:$A$201,[1]Sheet1!$B$1:$E$201,"Data Not Found",0)</f>
        <v>Karishma Bhatt</v>
      </c>
      <c r="C27" s="15" t="str">
        <v>Operations</v>
      </c>
      <c r="D27" s="15">
        <v>72000</v>
      </c>
      <c r="E27" s="16">
        <v>44725</v>
      </c>
      <c r="F27" s="19"/>
    </row>
    <row r="28" spans="1:6" x14ac:dyDescent="0.3">
      <c r="A28" s="14" t="s">
        <v>31</v>
      </c>
      <c r="B28" s="15" t="str" cm="1">
        <f t="array" ref="B28:E28">_xlfn.XLOOKUP(A28,[1]Sheet1!$A$1:$A$201,[1]Sheet1!$B$1:$E$201,"Data Not Found",0)</f>
        <v>Nikhil Kapoor</v>
      </c>
      <c r="C28" s="15" t="str">
        <v>Legal</v>
      </c>
      <c r="D28" s="15">
        <v>50000</v>
      </c>
      <c r="E28" s="16">
        <v>43776</v>
      </c>
      <c r="F28" s="17"/>
    </row>
    <row r="29" spans="1:6" x14ac:dyDescent="0.3">
      <c r="A29" s="18" t="s">
        <v>32</v>
      </c>
      <c r="B29" s="15" t="str" cm="1">
        <f t="array" ref="B29:E29">_xlfn.XLOOKUP(A29,[1]Sheet1!$A$1:$A$201,[1]Sheet1!$B$1:$E$201,"Data Not Found",0)</f>
        <v>Rekha Pillai</v>
      </c>
      <c r="C29" s="15" t="str">
        <v>R&amp;D</v>
      </c>
      <c r="D29" s="15">
        <v>66000</v>
      </c>
      <c r="E29" s="16">
        <v>43908</v>
      </c>
      <c r="F29" s="19"/>
    </row>
    <row r="30" spans="1:6" x14ac:dyDescent="0.3">
      <c r="A30" s="14" t="s">
        <v>33</v>
      </c>
      <c r="B30" s="15" t="str" cm="1">
        <f t="array" ref="B30:E30">_xlfn.XLOOKUP(A30,[1]Sheet1!$A$1:$A$201,[1]Sheet1!$B$1:$E$201,"Data Not Found",0)</f>
        <v>Pranav Dutta</v>
      </c>
      <c r="C30" s="15" t="str">
        <v>Support</v>
      </c>
      <c r="D30" s="15">
        <v>58000</v>
      </c>
      <c r="E30" s="16">
        <v>42638</v>
      </c>
      <c r="F30" s="17"/>
    </row>
    <row r="31" spans="1:6" x14ac:dyDescent="0.3">
      <c r="A31" s="18" t="s">
        <v>34</v>
      </c>
      <c r="B31" s="15" t="str" cm="1">
        <f t="array" ref="B31:E31">_xlfn.XLOOKUP(A31,[1]Sheet1!$A$1:$A$201,[1]Sheet1!$B$1:$E$201,"Data Not Found",0)</f>
        <v>Anushka Roy</v>
      </c>
      <c r="C31" s="15" t="str">
        <v>Admin</v>
      </c>
      <c r="D31" s="15">
        <v>45000</v>
      </c>
      <c r="E31" s="16">
        <v>42108</v>
      </c>
      <c r="F31" s="19"/>
    </row>
    <row r="32" spans="1:6" x14ac:dyDescent="0.3">
      <c r="A32" s="14" t="s">
        <v>35</v>
      </c>
      <c r="B32" s="15" t="str" cm="1">
        <f t="array" ref="B32:E32">_xlfn.XLOOKUP(A32,[1]Sheet1!$A$1:$A$201,[1]Sheet1!$B$1:$E$201,"Data Not Found",0)</f>
        <v>Rajiv Menon</v>
      </c>
      <c r="C32" s="15" t="str">
        <v>Sales</v>
      </c>
      <c r="D32" s="15">
        <v>80000</v>
      </c>
      <c r="E32" s="16">
        <v>43272</v>
      </c>
      <c r="F32" s="17"/>
    </row>
    <row r="33" spans="1:6" x14ac:dyDescent="0.3">
      <c r="A33" s="18" t="s">
        <v>36</v>
      </c>
      <c r="B33" s="15" t="str" cm="1">
        <f t="array" ref="B33:E33">_xlfn.XLOOKUP(A33,[1]Sheet1!$A$1:$A$201,[1]Sheet1!$B$1:$E$201,"Data Not Found",0)</f>
        <v>Shalini Verma</v>
      </c>
      <c r="C33" s="15" t="str">
        <v>HR</v>
      </c>
      <c r="D33" s="15">
        <v>54000</v>
      </c>
      <c r="E33" s="16">
        <v>43038</v>
      </c>
      <c r="F33" s="19"/>
    </row>
    <row r="34" spans="1:6" x14ac:dyDescent="0.3">
      <c r="A34" s="14" t="s">
        <v>37</v>
      </c>
      <c r="B34" s="15" t="str" cm="1">
        <f t="array" ref="B34:E34">_xlfn.XLOOKUP(A34,[1]Sheet1!$A$1:$A$201,[1]Sheet1!$B$1:$E$201,"Data Not Found",0)</f>
        <v>Mayank Sood</v>
      </c>
      <c r="C34" s="15" t="str">
        <v>IT</v>
      </c>
      <c r="D34" s="15">
        <v>47000</v>
      </c>
      <c r="E34" s="16">
        <v>44542</v>
      </c>
      <c r="F34" s="17"/>
    </row>
    <row r="35" spans="1:6" x14ac:dyDescent="0.3">
      <c r="A35" s="18" t="s">
        <v>38</v>
      </c>
      <c r="B35" s="15" t="str" cm="1">
        <f t="array" ref="B35:E35">_xlfn.XLOOKUP(A35,[1]Sheet1!$A$1:$A$201,[1]Sheet1!$B$1:$E$201,"Data Not Found",0)</f>
        <v>Anu Thomas</v>
      </c>
      <c r="C35" s="15" t="str">
        <v>Finance</v>
      </c>
      <c r="D35" s="15">
        <v>90000</v>
      </c>
      <c r="E35" s="16">
        <v>42408</v>
      </c>
      <c r="F35" s="19"/>
    </row>
    <row r="36" spans="1:6" x14ac:dyDescent="0.3">
      <c r="A36" s="14" t="s">
        <v>39</v>
      </c>
      <c r="B36" s="15" t="str" cm="1">
        <f t="array" ref="B36:E36">_xlfn.XLOOKUP(A36,[1]Sheet1!$A$1:$A$201,[1]Sheet1!$B$1:$E$201,"Data Not Found",0)</f>
        <v>Arnav Bhattacharya</v>
      </c>
      <c r="C36" s="15" t="str">
        <v>Marketing</v>
      </c>
      <c r="D36" s="15">
        <v>62000</v>
      </c>
      <c r="E36" s="16">
        <v>43588</v>
      </c>
      <c r="F36" s="17"/>
    </row>
    <row r="37" spans="1:6" x14ac:dyDescent="0.3">
      <c r="A37" s="18" t="s">
        <v>40</v>
      </c>
      <c r="B37" s="15" t="str" cm="1">
        <f t="array" ref="B37:E37">_xlfn.XLOOKUP(A37,[1]Sheet1!$A$1:$A$201,[1]Sheet1!$B$1:$E$201,"Data Not Found",0)</f>
        <v>Neelam Chatterjee</v>
      </c>
      <c r="C37" s="15" t="str">
        <v>Operations</v>
      </c>
      <c r="D37" s="15">
        <v>73000</v>
      </c>
      <c r="E37" s="16">
        <v>44070</v>
      </c>
      <c r="F37" s="19"/>
    </row>
    <row r="38" spans="1:6" x14ac:dyDescent="0.3">
      <c r="A38" s="14" t="s">
        <v>41</v>
      </c>
      <c r="B38" s="15" t="str" cm="1">
        <f t="array" ref="B38:E38">_xlfn.XLOOKUP(A38,[1]Sheet1!$A$1:$A$201,[1]Sheet1!$B$1:$E$201,"Data Not Found",0)</f>
        <v>Sameer Iyer</v>
      </c>
      <c r="C38" s="15" t="str">
        <v>Legal</v>
      </c>
      <c r="D38" s="15">
        <v>56000</v>
      </c>
      <c r="E38" s="16">
        <v>42324</v>
      </c>
      <c r="F38" s="17"/>
    </row>
    <row r="39" spans="1:6" x14ac:dyDescent="0.3">
      <c r="A39" s="18" t="s">
        <v>42</v>
      </c>
      <c r="B39" s="15" t="str" cm="1">
        <f t="array" ref="B39:E39">_xlfn.XLOOKUP(A39,[1]Sheet1!$A$1:$A$201,[1]Sheet1!$B$1:$E$201,"Data Not Found",0)</f>
        <v>Divya Rao</v>
      </c>
      <c r="C39" s="15" t="str">
        <v>R&amp;D</v>
      </c>
      <c r="D39" s="15">
        <v>67000</v>
      </c>
      <c r="E39" s="16">
        <v>43105</v>
      </c>
      <c r="F39" s="19"/>
    </row>
    <row r="40" spans="1:6" x14ac:dyDescent="0.3">
      <c r="A40" s="14" t="s">
        <v>43</v>
      </c>
      <c r="B40" s="15" t="str" cm="1">
        <f t="array" ref="B40:E40">_xlfn.XLOOKUP(A40,[1]Sheet1!$A$1:$A$201,[1]Sheet1!$B$1:$E$201,"Data Not Found",0)</f>
        <v>Akash Nair</v>
      </c>
      <c r="C40" s="15" t="str">
        <v>Support</v>
      </c>
      <c r="D40" s="15">
        <v>71000</v>
      </c>
      <c r="E40" s="16">
        <v>44673</v>
      </c>
      <c r="F40" s="17"/>
    </row>
    <row r="41" spans="1:6" x14ac:dyDescent="0.3">
      <c r="A41" s="18" t="s">
        <v>44</v>
      </c>
      <c r="B41" s="15" t="str" cm="1">
        <f t="array" ref="B41:E41">_xlfn.XLOOKUP(A41,[1]Sheet1!$A$1:$A$201,[1]Sheet1!$B$1:$E$201,"Data Not Found",0)</f>
        <v>Smita Kulkarni</v>
      </c>
      <c r="C41" s="15" t="str">
        <v>Admin</v>
      </c>
      <c r="D41" s="15">
        <v>64000</v>
      </c>
      <c r="E41" s="16">
        <v>42803</v>
      </c>
      <c r="F41" s="19"/>
    </row>
    <row r="42" spans="1:6" x14ac:dyDescent="0.3">
      <c r="A42" s="14" t="s">
        <v>45</v>
      </c>
      <c r="B42" s="15" t="str" cm="1">
        <f t="array" ref="B42:E42">_xlfn.XLOOKUP(A42,[1]Sheet1!$A$1:$A$201,[1]Sheet1!$B$1:$E$201,"Data Not Found",0)</f>
        <v>Anirudh Shah</v>
      </c>
      <c r="C42" s="15" t="str">
        <v>Sales</v>
      </c>
      <c r="D42" s="15">
        <v>52000</v>
      </c>
      <c r="E42" s="16">
        <v>43674</v>
      </c>
      <c r="F42" s="17"/>
    </row>
    <row r="43" spans="1:6" x14ac:dyDescent="0.3">
      <c r="A43" s="18" t="s">
        <v>46</v>
      </c>
      <c r="B43" s="15" t="str" cm="1">
        <f t="array" ref="B43:E43">_xlfn.XLOOKUP(A43,[1]Sheet1!$A$1:$A$201,[1]Sheet1!$B$1:$E$201,"Data Not Found",0)</f>
        <v>Parul Mehra</v>
      </c>
      <c r="C43" s="15" t="str">
        <v>HR</v>
      </c>
      <c r="D43" s="15">
        <v>48000</v>
      </c>
      <c r="E43" s="16">
        <v>44141</v>
      </c>
      <c r="F43" s="19"/>
    </row>
    <row r="44" spans="1:6" x14ac:dyDescent="0.3">
      <c r="A44" s="14" t="s">
        <v>47</v>
      </c>
      <c r="B44" s="15" t="str" cm="1">
        <f t="array" ref="B44:E44">_xlfn.XLOOKUP(A44,[1]Sheet1!$A$1:$A$201,[1]Sheet1!$B$1:$E$201,"Data Not Found",0)</f>
        <v>Devansh Jain</v>
      </c>
      <c r="C44" s="15" t="str">
        <v>IT</v>
      </c>
      <c r="D44" s="15">
        <v>75000</v>
      </c>
      <c r="E44" s="16">
        <v>43237</v>
      </c>
      <c r="F44" s="17"/>
    </row>
    <row r="45" spans="1:6" x14ac:dyDescent="0.3">
      <c r="A45" s="18" t="s">
        <v>48</v>
      </c>
      <c r="B45" s="15" t="str" cm="1">
        <f t="array" ref="B45:E45">_xlfn.XLOOKUP(A45,[1]Sheet1!$A$1:$A$201,[1]Sheet1!$B$1:$E$201,"Data Not Found",0)</f>
        <v>Neeta Saini</v>
      </c>
      <c r="C45" s="15" t="str">
        <v>Finance</v>
      </c>
      <c r="D45" s="15">
        <v>61000</v>
      </c>
      <c r="E45" s="16">
        <v>44440</v>
      </c>
      <c r="F45" s="19"/>
    </row>
    <row r="46" spans="1:6" x14ac:dyDescent="0.3">
      <c r="A46" s="14" t="s">
        <v>49</v>
      </c>
      <c r="B46" s="15" t="str" cm="1">
        <f t="array" ref="B46:E46">_xlfn.XLOOKUP(A46,[1]Sheet1!$A$1:$A$201,[1]Sheet1!$B$1:$E$201,"Data Not Found",0)</f>
        <v>Arpita Goyal</v>
      </c>
      <c r="C46" s="15" t="str">
        <v>Marketing</v>
      </c>
      <c r="D46" s="15">
        <v>69000</v>
      </c>
      <c r="E46" s="16">
        <v>42779</v>
      </c>
      <c r="F46" s="17"/>
    </row>
    <row r="47" spans="1:6" x14ac:dyDescent="0.3">
      <c r="A47" s="18" t="s">
        <v>50</v>
      </c>
      <c r="B47" s="15" t="str" cm="1">
        <f t="array" ref="B47:E47">_xlfn.XLOOKUP(A47,[1]Sheet1!$A$1:$A$201,[1]Sheet1!$B$1:$E$201,"Data Not Found",0)</f>
        <v>Rajesh Nambiar</v>
      </c>
      <c r="C47" s="15" t="str">
        <v>Operations</v>
      </c>
      <c r="D47" s="15">
        <v>72000</v>
      </c>
      <c r="E47" s="16">
        <v>44914</v>
      </c>
      <c r="F47" s="19"/>
    </row>
    <row r="48" spans="1:6" x14ac:dyDescent="0.3">
      <c r="A48" s="14" t="s">
        <v>51</v>
      </c>
      <c r="B48" s="15" t="str" cm="1">
        <f t="array" ref="B48:E48">_xlfn.XLOOKUP(A48,[1]Sheet1!$A$1:$A$201,[1]Sheet1!$B$1:$E$201,"Data Not Found",0)</f>
        <v>Sunita Rao</v>
      </c>
      <c r="C48" s="15" t="str">
        <v>Legal</v>
      </c>
      <c r="D48" s="15">
        <v>50000</v>
      </c>
      <c r="E48" s="16">
        <v>43701</v>
      </c>
      <c r="F48" s="17"/>
    </row>
    <row r="49" spans="1:6" x14ac:dyDescent="0.3">
      <c r="A49" s="18" t="s">
        <v>52</v>
      </c>
      <c r="B49" s="15" t="str" cm="1">
        <f t="array" ref="B49:E49">_xlfn.XLOOKUP(A49,[1]Sheet1!$A$1:$A$201,[1]Sheet1!$B$1:$E$201,"Data Not Found",0)</f>
        <v>Anmol Verma</v>
      </c>
      <c r="C49" s="15" t="str">
        <v>R&amp;D</v>
      </c>
      <c r="D49" s="15">
        <v>66000</v>
      </c>
      <c r="E49" s="16">
        <v>43837</v>
      </c>
      <c r="F49" s="19"/>
    </row>
    <row r="50" spans="1:6" x14ac:dyDescent="0.3">
      <c r="A50" s="14" t="s">
        <v>53</v>
      </c>
      <c r="B50" s="15" t="str" cm="1">
        <f t="array" ref="B50:E50">_xlfn.XLOOKUP(A50,[1]Sheet1!$A$1:$A$201,[1]Sheet1!$B$1:$E$201,"Data Not Found",0)</f>
        <v>Harpreet Singh</v>
      </c>
      <c r="C50" s="15" t="str">
        <v>Support</v>
      </c>
      <c r="D50" s="15">
        <v>58000</v>
      </c>
      <c r="E50" s="16">
        <v>42523</v>
      </c>
      <c r="F50" s="17"/>
    </row>
    <row r="51" spans="1:6" x14ac:dyDescent="0.3">
      <c r="A51" s="18" t="s">
        <v>54</v>
      </c>
      <c r="B51" s="15" t="str" cm="1">
        <f t="array" ref="B51:E51">_xlfn.XLOOKUP(A51,[1]Sheet1!$A$1:$A$201,[1]Sheet1!$B$1:$E$201,"Data Not Found",0)</f>
        <v>Leena D'Souza</v>
      </c>
      <c r="C51" s="15" t="str">
        <v>Admin</v>
      </c>
      <c r="D51" s="15">
        <v>45000</v>
      </c>
      <c r="E51" s="16">
        <v>42308</v>
      </c>
      <c r="F51" s="19"/>
    </row>
    <row r="52" spans="1:6" x14ac:dyDescent="0.3">
      <c r="A52" s="14" t="s">
        <v>55</v>
      </c>
      <c r="B52" s="15" t="str" cm="1">
        <f t="array" ref="B52:E52">_xlfn.XLOOKUP(A52,[1]Sheet1!$A$1:$A$201,[1]Sheet1!$B$1:$E$201,"Data Not Found",0)</f>
        <v>Prakash Kulkarni</v>
      </c>
      <c r="C52" s="15" t="str">
        <v>Sales</v>
      </c>
      <c r="D52" s="15">
        <v>80000</v>
      </c>
      <c r="E52" s="16">
        <v>43354</v>
      </c>
      <c r="F52" s="17"/>
    </row>
    <row r="53" spans="1:6" x14ac:dyDescent="0.3">
      <c r="A53" s="18" t="s">
        <v>56</v>
      </c>
      <c r="B53" s="15" t="str" cm="1">
        <f t="array" ref="B53:E53">_xlfn.XLOOKUP(A53,[1]Sheet1!$A$1:$A$201,[1]Sheet1!$B$1:$E$201,"Data Not Found",0)</f>
        <v>Shweta Bansal</v>
      </c>
      <c r="C53" s="15" t="str">
        <v>HR</v>
      </c>
      <c r="D53" s="15">
        <v>54000</v>
      </c>
      <c r="E53" s="16">
        <v>42757</v>
      </c>
      <c r="F53" s="19"/>
    </row>
    <row r="54" spans="1:6" x14ac:dyDescent="0.3">
      <c r="A54" s="14" t="s">
        <v>57</v>
      </c>
      <c r="B54" s="15" t="str" cm="1">
        <f t="array" ref="B54:E54">_xlfn.XLOOKUP(A54,[1]Sheet1!$A$1:$A$201,[1]Sheet1!$B$1:$E$201,"Data Not Found",0)</f>
        <v>Arjun Nair</v>
      </c>
      <c r="C54" s="15" t="str">
        <v>IT</v>
      </c>
      <c r="D54" s="15">
        <v>47000</v>
      </c>
      <c r="E54" s="16">
        <v>44269</v>
      </c>
      <c r="F54" s="17"/>
    </row>
    <row r="55" spans="1:6" x14ac:dyDescent="0.3">
      <c r="A55" s="18" t="s">
        <v>58</v>
      </c>
      <c r="B55" s="15" t="str" cm="1">
        <f t="array" ref="B55:E55">_xlfn.XLOOKUP(A55,[1]Sheet1!$A$1:$A$201,[1]Sheet1!$B$1:$E$201,"Data Not Found",0)</f>
        <v>Monica Rao</v>
      </c>
      <c r="C55" s="15" t="str">
        <v>Finance</v>
      </c>
      <c r="D55" s="15">
        <v>90000</v>
      </c>
      <c r="E55" s="16">
        <v>42556</v>
      </c>
      <c r="F55" s="19"/>
    </row>
    <row r="56" spans="1:6" x14ac:dyDescent="0.3">
      <c r="A56" s="14" t="s">
        <v>59</v>
      </c>
      <c r="B56" s="15" t="str" cm="1">
        <f t="array" ref="B56:E56">_xlfn.XLOOKUP(A56,[1]Sheet1!$A$1:$A$201,[1]Sheet1!$B$1:$E$201,"Data Not Found",0)</f>
        <v>Vivek Sharma</v>
      </c>
      <c r="C56" s="15" t="str">
        <v>Marketing</v>
      </c>
      <c r="D56" s="15">
        <v>62000</v>
      </c>
      <c r="E56" s="16">
        <v>43764</v>
      </c>
      <c r="F56" s="17"/>
    </row>
    <row r="57" spans="1:6" x14ac:dyDescent="0.3">
      <c r="A57" s="18" t="s">
        <v>60</v>
      </c>
      <c r="B57" s="15" t="str" cm="1">
        <f t="array" ref="B57:E57">_xlfn.XLOOKUP(A57,[1]Sheet1!$A$1:$A$201,[1]Sheet1!$B$1:$E$201,"Data Not Found",0)</f>
        <v>Rachna Kapoor</v>
      </c>
      <c r="C57" s="15" t="str">
        <v>Operations</v>
      </c>
      <c r="D57" s="15">
        <v>73000</v>
      </c>
      <c r="E57" s="16">
        <v>43863</v>
      </c>
      <c r="F57" s="19"/>
    </row>
    <row r="58" spans="1:6" x14ac:dyDescent="0.3">
      <c r="A58" s="14" t="s">
        <v>61</v>
      </c>
      <c r="B58" s="15" t="str" cm="1">
        <f t="array" ref="B58:E58">_xlfn.XLOOKUP(A58,[1]Sheet1!$A$1:$A$201,[1]Sheet1!$B$1:$E$201,"Data Not Found",0)</f>
        <v>Anil Deshmukh</v>
      </c>
      <c r="C58" s="15" t="str">
        <v>Legal</v>
      </c>
      <c r="D58" s="15">
        <v>56000</v>
      </c>
      <c r="E58" s="16">
        <v>42173</v>
      </c>
      <c r="F58" s="17"/>
    </row>
    <row r="59" spans="1:6" x14ac:dyDescent="0.3">
      <c r="A59" s="18" t="s">
        <v>62</v>
      </c>
      <c r="B59" s="15" t="str" cm="1">
        <f t="array" ref="B59:E59">_xlfn.XLOOKUP(A59,[1]Sheet1!$A$1:$A$201,[1]Sheet1!$B$1:$E$201,"Data Not Found",0)</f>
        <v>Trisha Banerjee</v>
      </c>
      <c r="C59" s="15" t="str">
        <v>R&amp;D</v>
      </c>
      <c r="D59" s="15">
        <v>67000</v>
      </c>
      <c r="E59" s="16">
        <v>43443</v>
      </c>
      <c r="F59" s="19"/>
    </row>
    <row r="60" spans="1:6" x14ac:dyDescent="0.3">
      <c r="A60" s="14" t="s">
        <v>63</v>
      </c>
      <c r="B60" s="15" t="str" cm="1">
        <f t="array" ref="B60:E60">_xlfn.XLOOKUP(A60,[1]Sheet1!$A$1:$A$201,[1]Sheet1!$B$1:$E$201,"Data Not Found",0)</f>
        <v>Rajeev Menon</v>
      </c>
      <c r="C60" s="15" t="str">
        <v>Support</v>
      </c>
      <c r="D60" s="15">
        <v>71000</v>
      </c>
      <c r="E60" s="16">
        <v>44581</v>
      </c>
      <c r="F60" s="17"/>
    </row>
    <row r="61" spans="1:6" x14ac:dyDescent="0.3">
      <c r="A61" s="18" t="s">
        <v>64</v>
      </c>
      <c r="B61" s="15" t="str" cm="1">
        <f t="array" ref="B61:E61">_xlfn.XLOOKUP(A61,[1]Sheet1!$A$1:$A$201,[1]Sheet1!$B$1:$E$201,"Data Not Found",0)</f>
        <v>Megha Sinha</v>
      </c>
      <c r="C61" s="15" t="str">
        <v>Admin</v>
      </c>
      <c r="D61" s="15">
        <v>64000</v>
      </c>
      <c r="E61" s="16">
        <v>43068</v>
      </c>
      <c r="F61" s="19"/>
    </row>
    <row r="62" spans="1:6" x14ac:dyDescent="0.3">
      <c r="A62" s="14" t="s">
        <v>65</v>
      </c>
      <c r="B62" s="15" t="str" cm="1">
        <f t="array" ref="B62:E62">_xlfn.XLOOKUP(A62,[1]Sheet1!$A$1:$A$201,[1]Sheet1!$B$1:$E$201,"Data Not Found",0)</f>
        <v>Sameer Patel</v>
      </c>
      <c r="C62" s="15" t="str">
        <v>Sales</v>
      </c>
      <c r="D62" s="15">
        <v>52000</v>
      </c>
      <c r="E62" s="16">
        <v>43502</v>
      </c>
      <c r="F62" s="17"/>
    </row>
    <row r="63" spans="1:6" x14ac:dyDescent="0.3">
      <c r="A63" s="18" t="s">
        <v>66</v>
      </c>
      <c r="B63" s="15" t="str" cm="1">
        <f t="array" ref="B63:E63">_xlfn.XLOOKUP(A63,[1]Sheet1!$A$1:$A$201,[1]Sheet1!$B$1:$E$201,"Data Not Found",0)</f>
        <v>Anjali Rao</v>
      </c>
      <c r="C63" s="15" t="str">
        <v>HR</v>
      </c>
      <c r="D63" s="15">
        <v>48000</v>
      </c>
      <c r="E63" s="16">
        <v>43997</v>
      </c>
      <c r="F63" s="19"/>
    </row>
    <row r="64" spans="1:6" x14ac:dyDescent="0.3">
      <c r="A64" s="14" t="s">
        <v>67</v>
      </c>
      <c r="B64" s="15" t="str" cm="1">
        <f t="array" ref="B64:E64">_xlfn.XLOOKUP(A64,[1]Sheet1!$A$1:$A$201,[1]Sheet1!$B$1:$E$201,"Data Not Found",0)</f>
        <v>Krishna Iyer</v>
      </c>
      <c r="C64" s="15" t="str">
        <v>IT</v>
      </c>
      <c r="D64" s="15">
        <v>75000</v>
      </c>
      <c r="E64" s="16">
        <v>43335</v>
      </c>
      <c r="F64" s="17"/>
    </row>
    <row r="65" spans="1:6" x14ac:dyDescent="0.3">
      <c r="A65" s="18" t="s">
        <v>68</v>
      </c>
      <c r="B65" s="15" t="str" cm="1">
        <f t="array" ref="B65:E65">_xlfn.XLOOKUP(A65,[1]Sheet1!$A$1:$A$201,[1]Sheet1!$B$1:$E$201,"Data Not Found",0)</f>
        <v>Shivani Gupta</v>
      </c>
      <c r="C65" s="15" t="str">
        <v>Finance</v>
      </c>
      <c r="D65" s="15">
        <v>61000</v>
      </c>
      <c r="E65" s="16">
        <v>44296</v>
      </c>
      <c r="F65" s="19"/>
    </row>
    <row r="66" spans="1:6" x14ac:dyDescent="0.3">
      <c r="A66" s="14" t="s">
        <v>69</v>
      </c>
      <c r="B66" s="15" t="str" cm="1">
        <f t="array" ref="B66:E66">_xlfn.XLOOKUP(A66,[1]Sheet1!$A$1:$A$201,[1]Sheet1!$B$1:$E$201,"Data Not Found",0)</f>
        <v>Aditya Malhotra</v>
      </c>
      <c r="C66" s="15" t="str">
        <v>Marketing</v>
      </c>
      <c r="D66" s="15">
        <v>69000</v>
      </c>
      <c r="E66" s="16">
        <v>43070</v>
      </c>
      <c r="F66" s="17"/>
    </row>
    <row r="67" spans="1:6" x14ac:dyDescent="0.3">
      <c r="A67" s="18" t="s">
        <v>70</v>
      </c>
      <c r="B67" s="15" t="str" cm="1">
        <f t="array" ref="B67:E67">_xlfn.XLOOKUP(A67,[1]Sheet1!$A$1:$A$201,[1]Sheet1!$B$1:$E$201,"Data Not Found",0)</f>
        <v>Pooja Sharma</v>
      </c>
      <c r="C67" s="15" t="str">
        <v>Operations</v>
      </c>
      <c r="D67" s="15">
        <v>72000</v>
      </c>
      <c r="E67" s="16">
        <v>44688</v>
      </c>
      <c r="F67" s="19"/>
    </row>
    <row r="68" spans="1:6" x14ac:dyDescent="0.3">
      <c r="A68" s="14" t="s">
        <v>71</v>
      </c>
      <c r="B68" s="15" t="str" cm="1">
        <f t="array" ref="B68:E68">_xlfn.XLOOKUP(A68,[1]Sheet1!$A$1:$A$201,[1]Sheet1!$B$1:$E$201,"Data Not Found",0)</f>
        <v>Raj Kumar</v>
      </c>
      <c r="C68" s="15" t="str">
        <v>Legal</v>
      </c>
      <c r="D68" s="15">
        <v>50000</v>
      </c>
      <c r="E68" s="16">
        <v>43751</v>
      </c>
      <c r="F68" s="17"/>
    </row>
    <row r="69" spans="1:6" x14ac:dyDescent="0.3">
      <c r="A69" s="18" t="s">
        <v>72</v>
      </c>
      <c r="B69" s="15" t="str" cm="1">
        <f t="array" ref="B69:E69">_xlfn.XLOOKUP(A69,[1]Sheet1!$A$1:$A$201,[1]Sheet1!$B$1:$E$201,"Data Not Found",0)</f>
        <v>Neelima Joshi</v>
      </c>
      <c r="C69" s="15" t="str">
        <v>R&amp;D</v>
      </c>
      <c r="D69" s="15">
        <v>66000</v>
      </c>
      <c r="E69" s="16">
        <v>44076</v>
      </c>
      <c r="F69" s="19"/>
    </row>
    <row r="70" spans="1:6" x14ac:dyDescent="0.3">
      <c r="A70" s="14" t="s">
        <v>73</v>
      </c>
      <c r="B70" s="15" t="str" cm="1">
        <f t="array" ref="B70:E70">_xlfn.XLOOKUP(A70,[1]Sheet1!$A$1:$A$201,[1]Sheet1!$B$1:$E$201,"Data Not Found",0)</f>
        <v>Anupam Roy</v>
      </c>
      <c r="C70" s="15" t="str">
        <v>Support</v>
      </c>
      <c r="D70" s="15">
        <v>58000</v>
      </c>
      <c r="E70" s="16">
        <v>42450</v>
      </c>
      <c r="F70" s="17"/>
    </row>
    <row r="71" spans="1:6" x14ac:dyDescent="0.3">
      <c r="A71" s="18" t="s">
        <v>74</v>
      </c>
      <c r="B71" s="15" t="str" cm="1">
        <f t="array" ref="B71:E71">_xlfn.XLOOKUP(A71,[1]Sheet1!$A$1:$A$201,[1]Sheet1!$B$1:$E$201,"Data Not Found",0)</f>
        <v>Sonia Bhat</v>
      </c>
      <c r="C71" s="15" t="str">
        <v>Admin</v>
      </c>
      <c r="D71" s="15">
        <v>45000</v>
      </c>
      <c r="E71" s="16">
        <v>42232</v>
      </c>
      <c r="F71" s="19"/>
    </row>
    <row r="72" spans="1:6" x14ac:dyDescent="0.3">
      <c r="A72" s="14" t="s">
        <v>75</v>
      </c>
      <c r="B72" s="15" t="str" cm="1">
        <f t="array" ref="B72:E72">_xlfn.XLOOKUP(A72,[1]Sheet1!$A$1:$A$201,[1]Sheet1!$B$1:$E$201,"Data Not Found",0)</f>
        <v>Arvind Chopra</v>
      </c>
      <c r="C72" s="15" t="str">
        <v>Sales</v>
      </c>
      <c r="D72" s="15">
        <v>80000</v>
      </c>
      <c r="E72" s="16">
        <v>43159</v>
      </c>
      <c r="F72" s="17"/>
    </row>
    <row r="73" spans="1:6" x14ac:dyDescent="0.3">
      <c r="A73" s="18" t="s">
        <v>76</v>
      </c>
      <c r="B73" s="15" t="str" cm="1">
        <f t="array" ref="B73:E73">_xlfn.XLOOKUP(A73,[1]Sheet1!$A$1:$A$201,[1]Sheet1!$B$1:$E$201,"Data Not Found",0)</f>
        <v>Meera Iyer</v>
      </c>
      <c r="C73" s="15" t="str">
        <v>HR</v>
      </c>
      <c r="D73" s="15">
        <v>54000</v>
      </c>
      <c r="E73" s="16">
        <v>42834</v>
      </c>
      <c r="F73" s="19"/>
    </row>
    <row r="74" spans="1:6" x14ac:dyDescent="0.3">
      <c r="A74" s="14" t="s">
        <v>77</v>
      </c>
      <c r="B74" s="15" t="str" cm="1">
        <f t="array" ref="B74:E74">_xlfn.XLOOKUP(A74,[1]Sheet1!$A$1:$A$201,[1]Sheet1!$B$1:$E$201,"Data Not Found",0)</f>
        <v>Pranav Shah</v>
      </c>
      <c r="C74" s="15" t="str">
        <v>IT</v>
      </c>
      <c r="D74" s="15">
        <v>47000</v>
      </c>
      <c r="E74" s="16">
        <v>44365</v>
      </c>
      <c r="F74" s="17"/>
    </row>
    <row r="75" spans="1:6" x14ac:dyDescent="0.3">
      <c r="A75" s="18" t="s">
        <v>78</v>
      </c>
      <c r="B75" s="15" t="str" cm="1">
        <f t="array" ref="B75:E75">_xlfn.XLOOKUP(A75,[1]Sheet1!$A$1:$A$201,[1]Sheet1!$B$1:$E$201,"Data Not Found",0)</f>
        <v>Shikha Sood</v>
      </c>
      <c r="C75" s="15" t="str">
        <v>Finance</v>
      </c>
      <c r="D75" s="15">
        <v>90000</v>
      </c>
      <c r="E75" s="16">
        <v>42670</v>
      </c>
      <c r="F75" s="19"/>
    </row>
    <row r="76" spans="1:6" x14ac:dyDescent="0.3">
      <c r="A76" s="14" t="s">
        <v>79</v>
      </c>
      <c r="B76" s="15" t="str" cm="1">
        <f t="array" ref="B76:E76">_xlfn.XLOOKUP(A76,[1]Sheet1!$A$1:$A$201,[1]Sheet1!$B$1:$E$201,"Data Not Found",0)</f>
        <v>Rajeev Gupta</v>
      </c>
      <c r="C76" s="15" t="str">
        <v>Marketing</v>
      </c>
      <c r="D76" s="15">
        <v>62000</v>
      </c>
      <c r="E76" s="16">
        <v>43777</v>
      </c>
      <c r="F76" s="17"/>
    </row>
    <row r="77" spans="1:6" x14ac:dyDescent="0.3">
      <c r="A77" s="18" t="s">
        <v>80</v>
      </c>
      <c r="B77" s="15" t="str" cm="1">
        <f t="array" ref="B77:E77">_xlfn.XLOOKUP(A77,[1]Sheet1!$A$1:$A$201,[1]Sheet1!$B$1:$E$201,"Data Not Found",0)</f>
        <v>Anita Menon</v>
      </c>
      <c r="C77" s="15" t="str">
        <v>Operations</v>
      </c>
      <c r="D77" s="15">
        <v>73000</v>
      </c>
      <c r="E77" s="16">
        <v>43860</v>
      </c>
      <c r="F77" s="19"/>
    </row>
    <row r="78" spans="1:6" x14ac:dyDescent="0.3">
      <c r="A78" s="14" t="s">
        <v>81</v>
      </c>
      <c r="B78" s="15" t="str" cm="1">
        <f t="array" ref="B78:E78">_xlfn.XLOOKUP(A78,[1]Sheet1!$A$1:$A$201,[1]Sheet1!$B$1:$E$201,"Data Not Found",0)</f>
        <v>Vinod Bhat</v>
      </c>
      <c r="C78" s="15" t="str">
        <v>Legal</v>
      </c>
      <c r="D78" s="15">
        <v>56000</v>
      </c>
      <c r="E78" s="16">
        <v>42066</v>
      </c>
      <c r="F78" s="17"/>
    </row>
    <row r="79" spans="1:6" x14ac:dyDescent="0.3">
      <c r="A79" s="18" t="s">
        <v>82</v>
      </c>
      <c r="B79" s="15" t="str" cm="1">
        <f t="array" ref="B79:E79">_xlfn.XLOOKUP(A79,[1]Sheet1!$A$1:$A$201,[1]Sheet1!$B$1:$E$201,"Data Not Found",0)</f>
        <v>Anushree Ghosh</v>
      </c>
      <c r="C79" s="15" t="str">
        <v>R&amp;D</v>
      </c>
      <c r="D79" s="15">
        <v>67000</v>
      </c>
      <c r="E79" s="16">
        <v>43293</v>
      </c>
      <c r="F79" s="19"/>
    </row>
    <row r="80" spans="1:6" x14ac:dyDescent="0.3">
      <c r="A80" s="14" t="s">
        <v>83</v>
      </c>
      <c r="B80" s="15" t="str" cm="1">
        <f t="array" ref="B80:E80">_xlfn.XLOOKUP(A80,[1]Sheet1!$A$1:$A$201,[1]Sheet1!$B$1:$E$201,"Data Not Found",0)</f>
        <v>Manu Kapoor</v>
      </c>
      <c r="C80" s="15" t="str">
        <v>Support</v>
      </c>
      <c r="D80" s="15">
        <v>71000</v>
      </c>
      <c r="E80" s="16">
        <v>44798</v>
      </c>
      <c r="F80" s="17"/>
    </row>
    <row r="81" spans="1:6" x14ac:dyDescent="0.3">
      <c r="A81" s="18" t="s">
        <v>84</v>
      </c>
      <c r="B81" s="15" t="str" cm="1">
        <f t="array" ref="B81:E81">_xlfn.XLOOKUP(A81,[1]Sheet1!$A$1:$A$201,[1]Sheet1!$B$1:$E$201,"Data Not Found",0)</f>
        <v>Reema Nair</v>
      </c>
      <c r="C81" s="15" t="str">
        <v>Admin</v>
      </c>
      <c r="D81" s="15">
        <v>64000</v>
      </c>
      <c r="E81" s="16">
        <v>42992</v>
      </c>
      <c r="F81" s="19"/>
    </row>
    <row r="82" spans="1:6" x14ac:dyDescent="0.3">
      <c r="A82" s="14" t="s">
        <v>85</v>
      </c>
      <c r="B82" s="15" t="str" cm="1">
        <f t="array" ref="B82:E82">_xlfn.XLOOKUP(A82,[1]Sheet1!$A$1:$A$201,[1]Sheet1!$B$1:$E$201,"Data Not Found",0)</f>
        <v>Arjun Verma</v>
      </c>
      <c r="C82" s="15" t="str">
        <v>Sales</v>
      </c>
      <c r="D82" s="15">
        <v>52000</v>
      </c>
      <c r="E82" s="16">
        <v>43590</v>
      </c>
      <c r="F82" s="17"/>
    </row>
    <row r="83" spans="1:6" x14ac:dyDescent="0.3">
      <c r="A83" s="18" t="s">
        <v>86</v>
      </c>
      <c r="B83" s="15" t="str" cm="1">
        <f t="array" ref="B83:E83">_xlfn.XLOOKUP(A83,[1]Sheet1!$A$1:$A$201,[1]Sheet1!$B$1:$E$201,"Data Not Found",0)</f>
        <v>Divya Singh</v>
      </c>
      <c r="C83" s="15" t="str">
        <v>HR</v>
      </c>
      <c r="D83" s="15">
        <v>48000</v>
      </c>
      <c r="E83" s="16">
        <v>43913</v>
      </c>
      <c r="F83" s="19"/>
    </row>
    <row r="84" spans="1:6" x14ac:dyDescent="0.3">
      <c r="A84" s="14" t="s">
        <v>87</v>
      </c>
      <c r="B84" s="15" t="str" cm="1">
        <f t="array" ref="B84:E84">_xlfn.XLOOKUP(A84,[1]Sheet1!$A$1:$A$201,[1]Sheet1!$B$1:$E$201,"Data Not Found",0)</f>
        <v>Rahul Desai</v>
      </c>
      <c r="C84" s="15" t="str">
        <v>IT</v>
      </c>
      <c r="D84" s="15">
        <v>75000</v>
      </c>
      <c r="E84" s="16">
        <v>43130</v>
      </c>
      <c r="F84" s="17"/>
    </row>
    <row r="85" spans="1:6" x14ac:dyDescent="0.3">
      <c r="A85" s="18" t="s">
        <v>88</v>
      </c>
      <c r="B85" s="15" t="str" cm="1">
        <f t="array" ref="B85:E85">_xlfn.XLOOKUP(A85,[1]Sheet1!$A$1:$A$201,[1]Sheet1!$B$1:$E$201,"Data Not Found",0)</f>
        <v>Shalini Rao</v>
      </c>
      <c r="C85" s="15" t="str">
        <v>Finance</v>
      </c>
      <c r="D85" s="15">
        <v>61000</v>
      </c>
      <c r="E85" s="16">
        <v>44396</v>
      </c>
      <c r="F85" s="19"/>
    </row>
    <row r="86" spans="1:6" x14ac:dyDescent="0.3">
      <c r="A86" s="14" t="s">
        <v>89</v>
      </c>
      <c r="B86" s="15" t="str" cm="1">
        <f t="array" ref="B86:E86">_xlfn.XLOOKUP(A86,[1]Sheet1!$A$1:$A$201,[1]Sheet1!$B$1:$E$201,"Data Not Found",0)</f>
        <v>Anupama Chatterjee</v>
      </c>
      <c r="C86" s="15" t="str">
        <v>Marketing</v>
      </c>
      <c r="D86" s="15">
        <v>69000</v>
      </c>
      <c r="E86" s="16">
        <v>42741</v>
      </c>
      <c r="F86" s="17"/>
    </row>
    <row r="87" spans="1:6" x14ac:dyDescent="0.3">
      <c r="A87" s="18" t="s">
        <v>90</v>
      </c>
      <c r="B87" s="15" t="str" cm="1">
        <f t="array" ref="B87:E87">_xlfn.XLOOKUP(A87,[1]Sheet1!$A$1:$A$201,[1]Sheet1!$B$1:$E$201,"Data Not Found",0)</f>
        <v>Sameer Malhotra</v>
      </c>
      <c r="C87" s="15" t="str">
        <v>Operations</v>
      </c>
      <c r="D87" s="15">
        <v>72000</v>
      </c>
      <c r="E87" s="16">
        <v>44845</v>
      </c>
      <c r="F87" s="19"/>
    </row>
    <row r="88" spans="1:6" x14ac:dyDescent="0.3">
      <c r="A88" s="14" t="s">
        <v>91</v>
      </c>
      <c r="B88" s="15" t="str" cm="1">
        <f t="array" ref="B88:E88">_xlfn.XLOOKUP(A88,[1]Sheet1!$A$1:$A$201,[1]Sheet1!$B$1:$E$201,"Data Not Found",0)</f>
        <v>Neeraj Kumar</v>
      </c>
      <c r="C88" s="15" t="str">
        <v>Legal</v>
      </c>
      <c r="D88" s="15">
        <v>50000</v>
      </c>
      <c r="E88" s="16">
        <v>43579</v>
      </c>
      <c r="F88" s="17"/>
    </row>
    <row r="89" spans="1:6" x14ac:dyDescent="0.3">
      <c r="A89" s="18" t="s">
        <v>92</v>
      </c>
      <c r="B89" s="15" t="str" cm="1">
        <f t="array" ref="B89:E89">_xlfn.XLOOKUP(A89,[1]Sheet1!$A$1:$A$201,[1]Sheet1!$B$1:$E$201,"Data Not Found",0)</f>
        <v>Prerna Bhatt</v>
      </c>
      <c r="C89" s="15" t="str">
        <v>R&amp;D</v>
      </c>
      <c r="D89" s="15">
        <v>66000</v>
      </c>
      <c r="E89" s="16">
        <v>44168</v>
      </c>
      <c r="F89" s="19"/>
    </row>
    <row r="90" spans="1:6" x14ac:dyDescent="0.3">
      <c r="A90" s="14" t="s">
        <v>93</v>
      </c>
      <c r="B90" s="15" t="str" cm="1">
        <f t="array" ref="B90:E90">_xlfn.XLOOKUP(A90,[1]Sheet1!$A$1:$A$201,[1]Sheet1!$B$1:$E$201,"Data Not Found",0)</f>
        <v>Arvind Saini</v>
      </c>
      <c r="C90" s="15" t="str">
        <v>Support</v>
      </c>
      <c r="D90" s="15">
        <v>58000</v>
      </c>
      <c r="E90" s="16">
        <v>42687</v>
      </c>
      <c r="F90" s="17"/>
    </row>
    <row r="91" spans="1:6" x14ac:dyDescent="0.3">
      <c r="A91" s="18" t="s">
        <v>94</v>
      </c>
      <c r="B91" s="15" t="str" cm="1">
        <f t="array" ref="B91:E91">_xlfn.XLOOKUP(A91,[1]Sheet1!$A$1:$A$201,[1]Sheet1!$B$1:$E$201,"Data Not Found",0)</f>
        <v>Geeta Pillai</v>
      </c>
      <c r="C91" s="15" t="str">
        <v>Admin</v>
      </c>
      <c r="D91" s="15">
        <v>45000</v>
      </c>
      <c r="E91" s="16">
        <v>42036</v>
      </c>
      <c r="F91" s="19"/>
    </row>
    <row r="92" spans="1:6" x14ac:dyDescent="0.3">
      <c r="A92" s="14" t="s">
        <v>95</v>
      </c>
      <c r="B92" s="15" t="str" cm="1">
        <f t="array" ref="B92:E92">_xlfn.XLOOKUP(A92,[1]Sheet1!$A$1:$A$201,[1]Sheet1!$B$1:$E$201,"Data Not Found",0)</f>
        <v>Akshay Mehta</v>
      </c>
      <c r="C92" s="15" t="str">
        <v>Sales</v>
      </c>
      <c r="D92" s="15">
        <v>80000</v>
      </c>
      <c r="E92" s="16">
        <v>43175</v>
      </c>
      <c r="F92" s="17"/>
    </row>
    <row r="93" spans="1:6" x14ac:dyDescent="0.3">
      <c r="A93" s="18" t="s">
        <v>96</v>
      </c>
      <c r="B93" s="15" t="str" cm="1">
        <f t="array" ref="B93:E93">_xlfn.XLOOKUP(A93,[1]Sheet1!$A$1:$A$201,[1]Sheet1!$B$1:$E$201,"Data Not Found",0)</f>
        <v>Anita Iqbal</v>
      </c>
      <c r="C93" s="15" t="str">
        <v>HR</v>
      </c>
      <c r="D93" s="15">
        <v>54000</v>
      </c>
      <c r="E93" s="16">
        <v>42952</v>
      </c>
      <c r="F93" s="19"/>
    </row>
    <row r="94" spans="1:6" x14ac:dyDescent="0.3">
      <c r="A94" s="14" t="s">
        <v>97</v>
      </c>
      <c r="B94" s="15" t="str" cm="1">
        <f t="array" ref="B94:E94">_xlfn.XLOOKUP(A94,[1]Sheet1!$A$1:$A$201,[1]Sheet1!$B$1:$E$201,"Data Not Found",0)</f>
        <v>Devika Nair</v>
      </c>
      <c r="C94" s="15" t="str">
        <v>IT</v>
      </c>
      <c r="D94" s="15">
        <v>47000</v>
      </c>
      <c r="E94" s="16">
        <v>44467</v>
      </c>
      <c r="F94" s="17"/>
    </row>
    <row r="95" spans="1:6" x14ac:dyDescent="0.3">
      <c r="A95" s="18" t="s">
        <v>98</v>
      </c>
      <c r="B95" s="15" t="str" cm="1">
        <f t="array" ref="B95:E95">_xlfn.XLOOKUP(A95,[1]Sheet1!$A$1:$A$201,[1]Sheet1!$B$1:$E$201,"Data Not Found",0)</f>
        <v>Rakesh Sharma</v>
      </c>
      <c r="C95" s="15" t="str">
        <v>Finance</v>
      </c>
      <c r="D95" s="15">
        <v>90000</v>
      </c>
      <c r="E95" s="16">
        <v>42502</v>
      </c>
      <c r="F95" s="19"/>
    </row>
    <row r="96" spans="1:6" x14ac:dyDescent="0.3">
      <c r="A96" s="14" t="s">
        <v>99</v>
      </c>
      <c r="B96" s="15" t="str" cm="1">
        <f t="array" ref="B96:E96">_xlfn.XLOOKUP(A96,[1]Sheet1!$A$1:$A$201,[1]Sheet1!$B$1:$E$201,"Data Not Found",0)</f>
        <v>Shreya Kapoor</v>
      </c>
      <c r="C96" s="15" t="str">
        <v>Marketing</v>
      </c>
      <c r="D96" s="15">
        <v>62000</v>
      </c>
      <c r="E96" s="16">
        <v>43820</v>
      </c>
      <c r="F96" s="17"/>
    </row>
    <row r="97" spans="1:6" x14ac:dyDescent="0.3">
      <c r="A97" s="18" t="s">
        <v>100</v>
      </c>
      <c r="B97" s="15" t="str" cm="1">
        <f t="array" ref="B97:E97">_xlfn.XLOOKUP(A97,[1]Sheet1!$A$1:$A$201,[1]Sheet1!$B$1:$E$201,"Data Not Found",0)</f>
        <v>Manish Verma</v>
      </c>
      <c r="C97" s="15" t="str">
        <v>Operations</v>
      </c>
      <c r="D97" s="15">
        <v>73000</v>
      </c>
      <c r="E97" s="16">
        <v>43927</v>
      </c>
      <c r="F97" s="19"/>
    </row>
    <row r="98" spans="1:6" x14ac:dyDescent="0.3">
      <c r="A98" s="14" t="s">
        <v>101</v>
      </c>
      <c r="B98" s="15" t="str" cm="1">
        <f t="array" ref="B98:E98">_xlfn.XLOOKUP(A98,[1]Sheet1!$A$1:$A$201,[1]Sheet1!$B$1:$E$201,"Data Not Found",0)</f>
        <v>Sunil Rao</v>
      </c>
      <c r="C98" s="15" t="str">
        <v>Legal</v>
      </c>
      <c r="D98" s="15">
        <v>56000</v>
      </c>
      <c r="E98" s="16">
        <v>42210</v>
      </c>
      <c r="F98" s="17"/>
    </row>
    <row r="99" spans="1:6" x14ac:dyDescent="0.3">
      <c r="A99" s="18" t="s">
        <v>102</v>
      </c>
      <c r="B99" s="15" t="str" cm="1">
        <f t="array" ref="B99:E99">_xlfn.XLOOKUP(A99,[1]Sheet1!$A$1:$A$201,[1]Sheet1!$B$1:$E$201,"Data Not Found",0)</f>
        <v>Ankita Banerjee</v>
      </c>
      <c r="C99" s="15" t="str">
        <v>R&amp;D</v>
      </c>
      <c r="D99" s="15">
        <v>67000</v>
      </c>
      <c r="E99" s="16">
        <v>43373</v>
      </c>
      <c r="F99" s="19"/>
    </row>
    <row r="100" spans="1:6" x14ac:dyDescent="0.3">
      <c r="A100" s="14" t="s">
        <v>103</v>
      </c>
      <c r="B100" s="15" t="str" cm="1">
        <f t="array" ref="B100:E100">_xlfn.XLOOKUP(A100,[1]Sheet1!$A$1:$A$201,[1]Sheet1!$B$1:$E$201,"Data Not Found",0)</f>
        <v>Prakash Singh</v>
      </c>
      <c r="C100" s="15" t="str">
        <v>Support</v>
      </c>
      <c r="D100" s="15">
        <v>71000</v>
      </c>
      <c r="E100" s="16">
        <v>44606</v>
      </c>
      <c r="F100" s="17"/>
    </row>
    <row r="101" spans="1:6" x14ac:dyDescent="0.3">
      <c r="A101" s="18" t="s">
        <v>104</v>
      </c>
      <c r="B101" s="15" t="str" cm="1">
        <f t="array" ref="B101:E101">_xlfn.XLOOKUP(A101,[1]Sheet1!$A$1:$A$201,[1]Sheet1!$B$1:$E$201,"Data Not Found",0)</f>
        <v>Radha Menon</v>
      </c>
      <c r="C101" s="15" t="str">
        <v>Admin</v>
      </c>
      <c r="D101" s="15">
        <v>64000</v>
      </c>
      <c r="E101" s="16">
        <v>42887</v>
      </c>
      <c r="F101" s="19"/>
    </row>
    <row r="102" spans="1:6" x14ac:dyDescent="0.3">
      <c r="A102" s="14" t="s">
        <v>105</v>
      </c>
      <c r="B102" s="15" t="str" cm="1">
        <f t="array" ref="B102:E102">_xlfn.XLOOKUP(A102,[1]Sheet1!$A$1:$A$201,[1]Sheet1!$B$1:$E$201,"Data Not Found",0)</f>
        <v>Vikram Patel</v>
      </c>
      <c r="C102" s="15" t="str">
        <v>Sales</v>
      </c>
      <c r="D102" s="15">
        <v>52000</v>
      </c>
      <c r="E102" s="16">
        <v>43717</v>
      </c>
      <c r="F102" s="17"/>
    </row>
    <row r="103" spans="1:6" x14ac:dyDescent="0.3">
      <c r="A103" s="18" t="s">
        <v>106</v>
      </c>
      <c r="B103" s="15" t="str" cm="1">
        <f t="array" ref="B103:E103">_xlfn.XLOOKUP(A103,[1]Sheet1!$A$1:$A$201,[1]Sheet1!$B$1:$E$201,"Data Not Found",0)</f>
        <v>Neha Gupta</v>
      </c>
      <c r="C103" s="15" t="str">
        <v>HR</v>
      </c>
      <c r="D103" s="15">
        <v>48000</v>
      </c>
      <c r="E103" s="16">
        <v>43848</v>
      </c>
      <c r="F103" s="19"/>
    </row>
    <row r="104" spans="1:6" x14ac:dyDescent="0.3">
      <c r="A104" s="14" t="s">
        <v>107</v>
      </c>
      <c r="B104" s="15" t="str" cm="1">
        <f t="array" ref="B104:E104">_xlfn.XLOOKUP(A104,[1]Sheet1!$A$1:$A$201,[1]Sheet1!$B$1:$E$201,"Data Not Found",0)</f>
        <v>Arjun Sharma</v>
      </c>
      <c r="C104" s="15" t="str">
        <v>IT</v>
      </c>
      <c r="D104" s="15">
        <v>75000</v>
      </c>
      <c r="E104" s="16">
        <v>43258</v>
      </c>
      <c r="F104" s="17"/>
    </row>
    <row r="105" spans="1:6" x14ac:dyDescent="0.3">
      <c r="A105" s="18" t="s">
        <v>108</v>
      </c>
      <c r="B105" s="15" t="str" cm="1">
        <f t="array" ref="B105:E105">_xlfn.XLOOKUP(A105,[1]Sheet1!$A$1:$A$201,[1]Sheet1!$B$1:$E$201,"Data Not Found",0)</f>
        <v>Divya Mehra</v>
      </c>
      <c r="C105" s="15" t="str">
        <v>Finance</v>
      </c>
      <c r="D105" s="15">
        <v>61000</v>
      </c>
      <c r="E105" s="16">
        <v>44280</v>
      </c>
      <c r="F105" s="19"/>
    </row>
    <row r="106" spans="1:6" x14ac:dyDescent="0.3">
      <c r="A106" s="14" t="s">
        <v>109</v>
      </c>
      <c r="B106" s="15" t="str" cm="1">
        <f t="array" ref="B106:E106">_xlfn.XLOOKUP(A106,[1]Sheet1!$A$1:$A$201,[1]Sheet1!$B$1:$E$201,"Data Not Found",0)</f>
        <v>Rohit Nair</v>
      </c>
      <c r="C106" s="15" t="str">
        <v>Marketing</v>
      </c>
      <c r="D106" s="15">
        <v>69000</v>
      </c>
      <c r="E106" s="16">
        <v>43010</v>
      </c>
      <c r="F106" s="17"/>
    </row>
    <row r="107" spans="1:6" x14ac:dyDescent="0.3">
      <c r="A107" s="18" t="s">
        <v>110</v>
      </c>
      <c r="B107" s="15" t="str" cm="1">
        <f t="array" ref="B107:E107">_xlfn.XLOOKUP(A107,[1]Sheet1!$A$1:$A$201,[1]Sheet1!$B$1:$E$201,"Data Not Found",0)</f>
        <v>Anjali Joshi</v>
      </c>
      <c r="C107" s="15" t="str">
        <v>Operations</v>
      </c>
      <c r="D107" s="15">
        <v>72000</v>
      </c>
      <c r="E107" s="16">
        <v>44758</v>
      </c>
      <c r="F107" s="19"/>
    </row>
    <row r="108" spans="1:6" x14ac:dyDescent="0.3">
      <c r="A108" s="14" t="s">
        <v>111</v>
      </c>
      <c r="B108" s="15" t="str" cm="1">
        <f t="array" ref="B108:E108">_xlfn.XLOOKUP(A108,[1]Sheet1!$A$1:$A$201,[1]Sheet1!$B$1:$E$201,"Data Not Found",0)</f>
        <v>Praveen Kumar</v>
      </c>
      <c r="C108" s="15" t="str">
        <v>Legal</v>
      </c>
      <c r="D108" s="15">
        <v>50000</v>
      </c>
      <c r="E108" s="16">
        <v>43523</v>
      </c>
      <c r="F108" s="17"/>
    </row>
    <row r="109" spans="1:6" x14ac:dyDescent="0.3">
      <c r="A109" s="18" t="s">
        <v>112</v>
      </c>
      <c r="B109" s="15" t="str" cm="1">
        <f t="array" ref="B109:E109">_xlfn.XLOOKUP(A109,[1]Sheet1!$A$1:$A$201,[1]Sheet1!$B$1:$E$201,"Data Not Found",0)</f>
        <v>Shweta Rao</v>
      </c>
      <c r="C109" s="15" t="str">
        <v>R&amp;D</v>
      </c>
      <c r="D109" s="15">
        <v>66000</v>
      </c>
      <c r="E109" s="16">
        <v>43955</v>
      </c>
      <c r="F109" s="19"/>
    </row>
    <row r="110" spans="1:6" x14ac:dyDescent="0.3">
      <c r="A110" s="14" t="s">
        <v>113</v>
      </c>
      <c r="B110" s="15" t="str" cm="1">
        <f t="array" ref="B110:E110">_xlfn.XLOOKUP(A110,[1]Sheet1!$A$1:$A$201,[1]Sheet1!$B$1:$E$201,"Data Not Found",0)</f>
        <v>Manisha Sood</v>
      </c>
      <c r="C110" s="15" t="str">
        <v>Support</v>
      </c>
      <c r="D110" s="15">
        <v>58000</v>
      </c>
      <c r="E110" s="16">
        <v>42380</v>
      </c>
      <c r="F110" s="17"/>
    </row>
    <row r="111" spans="1:6" x14ac:dyDescent="0.3">
      <c r="A111" s="18" t="s">
        <v>114</v>
      </c>
      <c r="B111" s="15" t="str" cm="1">
        <f t="array" ref="B111:E111">_xlfn.XLOOKUP(A111,[1]Sheet1!$A$1:$A$201,[1]Sheet1!$B$1:$E$201,"Data Not Found",0)</f>
        <v>Arun D'Souza</v>
      </c>
      <c r="C111" s="15" t="str">
        <v>Admin</v>
      </c>
      <c r="D111" s="15">
        <v>45000</v>
      </c>
      <c r="E111" s="16">
        <v>42328</v>
      </c>
      <c r="F111" s="19"/>
    </row>
    <row r="112" spans="1:6" x14ac:dyDescent="0.3">
      <c r="A112" s="14" t="s">
        <v>115</v>
      </c>
      <c r="B112" s="15" t="str" cm="1">
        <f t="array" ref="B112:E112">_xlfn.XLOOKUP(A112,[1]Sheet1!$A$1:$A$201,[1]Sheet1!$B$1:$E$201,"Data Not Found",0)</f>
        <v>Neeraj Sharma</v>
      </c>
      <c r="C112" s="15" t="str">
        <v>Sales</v>
      </c>
      <c r="D112" s="15">
        <v>80000</v>
      </c>
      <c r="E112" s="16">
        <v>43433</v>
      </c>
      <c r="F112" s="17"/>
    </row>
    <row r="113" spans="1:6" x14ac:dyDescent="0.3">
      <c r="A113" s="18" t="s">
        <v>116</v>
      </c>
      <c r="B113" s="15" t="str" cm="1">
        <f t="array" ref="B113:E113">_xlfn.XLOOKUP(A113,[1]Sheet1!$A$1:$A$201,[1]Sheet1!$B$1:$E$201,"Data Not Found",0)</f>
        <v>Megha Verma</v>
      </c>
      <c r="C113" s="15" t="str">
        <v>HR</v>
      </c>
      <c r="D113" s="15">
        <v>54000</v>
      </c>
      <c r="E113" s="16">
        <v>42780</v>
      </c>
      <c r="F113" s="19"/>
    </row>
    <row r="114" spans="1:6" x14ac:dyDescent="0.3">
      <c r="A114" s="14" t="s">
        <v>117</v>
      </c>
      <c r="B114" s="15" t="str" cm="1">
        <f t="array" ref="B114:E114">_xlfn.XLOOKUP(A114,[1]Sheet1!$A$1:$A$201,[1]Sheet1!$B$1:$E$201,"Data Not Found",0)</f>
        <v>Aditya Kapoor</v>
      </c>
      <c r="C114" s="15" t="str">
        <v>IT</v>
      </c>
      <c r="D114" s="15">
        <v>47000</v>
      </c>
      <c r="E114" s="16">
        <v>44411</v>
      </c>
      <c r="F114" s="17"/>
    </row>
    <row r="115" spans="1:6" x14ac:dyDescent="0.3">
      <c r="A115" s="18" t="s">
        <v>118</v>
      </c>
      <c r="B115" s="15" t="str" cm="1">
        <f t="array" ref="B115:E115">_xlfn.XLOOKUP(A115,[1]Sheet1!$A$1:$A$201,[1]Sheet1!$B$1:$E$201,"Data Not Found",0)</f>
        <v>Sunita Chawla</v>
      </c>
      <c r="C115" s="15" t="str">
        <v>Finance</v>
      </c>
      <c r="D115" s="15">
        <v>90000</v>
      </c>
      <c r="E115" s="16">
        <v>42451</v>
      </c>
      <c r="F115" s="19"/>
    </row>
    <row r="116" spans="1:6" x14ac:dyDescent="0.3">
      <c r="A116" s="14" t="s">
        <v>119</v>
      </c>
      <c r="B116" s="15" t="str" cm="1">
        <f t="array" ref="B116:E116">_xlfn.XLOOKUP(A116,[1]Sheet1!$A$1:$A$201,[1]Sheet1!$B$1:$E$201,"Data Not Found",0)</f>
        <v>Rahul Bhatt</v>
      </c>
      <c r="C116" s="15" t="str">
        <v>Marketing</v>
      </c>
      <c r="D116" s="15">
        <v>62000</v>
      </c>
      <c r="E116" s="16">
        <v>43496</v>
      </c>
      <c r="F116" s="17"/>
    </row>
    <row r="117" spans="1:6" x14ac:dyDescent="0.3">
      <c r="A117" s="18" t="s">
        <v>120</v>
      </c>
      <c r="B117" s="15" t="str" cm="1">
        <f t="array" ref="B117:E117">_xlfn.XLOOKUP(A117,[1]Sheet1!$A$1:$A$201,[1]Sheet1!$B$1:$E$201,"Data Not Found",0)</f>
        <v>Anita Reddy</v>
      </c>
      <c r="C117" s="15" t="str">
        <v>Operations</v>
      </c>
      <c r="D117" s="15">
        <v>73000</v>
      </c>
      <c r="E117" s="16">
        <v>44086</v>
      </c>
      <c r="F117" s="19"/>
    </row>
    <row r="118" spans="1:6" x14ac:dyDescent="0.3">
      <c r="A118" s="14" t="s">
        <v>121</v>
      </c>
      <c r="B118" s="15" t="str" cm="1">
        <f t="array" ref="B118:E118">_xlfn.XLOOKUP(A118,[1]Sheet1!$A$1:$A$201,[1]Sheet1!$B$1:$E$201,"Data Not Found",0)</f>
        <v>Prakash Iyer</v>
      </c>
      <c r="C118" s="15" t="str">
        <v>Legal</v>
      </c>
      <c r="D118" s="15">
        <v>56000</v>
      </c>
      <c r="E118" s="16">
        <v>42125</v>
      </c>
      <c r="F118" s="17"/>
    </row>
    <row r="119" spans="1:6" x14ac:dyDescent="0.3">
      <c r="A119" s="18" t="s">
        <v>122</v>
      </c>
      <c r="B119" s="15" t="str" cm="1">
        <f t="array" ref="B119:E119">_xlfn.XLOOKUP(A119,[1]Sheet1!$A$1:$A$201,[1]Sheet1!$B$1:$E$201,"Data Not Found",0)</f>
        <v>Swati Banerjee</v>
      </c>
      <c r="C119" s="15" t="str">
        <v>R&amp;D</v>
      </c>
      <c r="D119" s="15">
        <v>67000</v>
      </c>
      <c r="E119" s="16">
        <v>43393</v>
      </c>
      <c r="F119" s="19"/>
    </row>
    <row r="120" spans="1:6" x14ac:dyDescent="0.3">
      <c r="A120" s="14" t="s">
        <v>123</v>
      </c>
      <c r="B120" s="15" t="str" cm="1">
        <f t="array" ref="B120:E120">_xlfn.XLOOKUP(A120,[1]Sheet1!$A$1:$A$201,[1]Sheet1!$B$1:$E$201,"Data Not Found",0)</f>
        <v>Manoj Menon</v>
      </c>
      <c r="C120" s="15" t="str">
        <v>Support</v>
      </c>
      <c r="D120" s="15">
        <v>71000</v>
      </c>
      <c r="E120" s="16">
        <v>44872</v>
      </c>
      <c r="F120" s="17"/>
    </row>
    <row r="121" spans="1:6" x14ac:dyDescent="0.3">
      <c r="A121" s="18" t="s">
        <v>124</v>
      </c>
      <c r="B121" s="15" t="str" cm="1">
        <f t="array" ref="B121:E121">_xlfn.XLOOKUP(A121,[1]Sheet1!$A$1:$A$201,[1]Sheet1!$B$1:$E$201,"Data Not Found",0)</f>
        <v>Neha Saini</v>
      </c>
      <c r="C121" s="15" t="str">
        <v>Admin</v>
      </c>
      <c r="D121" s="15">
        <v>64000</v>
      </c>
      <c r="E121" s="16">
        <v>42851</v>
      </c>
      <c r="F121" s="19"/>
    </row>
    <row r="122" spans="1:6" x14ac:dyDescent="0.3">
      <c r="A122" s="14" t="s">
        <v>125</v>
      </c>
      <c r="B122" s="15" t="str" cm="1">
        <f t="array" ref="B122:E122">_xlfn.XLOOKUP(A122,[1]Sheet1!$A$1:$A$201,[1]Sheet1!$B$1:$E$201,"Data Not Found",0)</f>
        <v>Arjun Gupta</v>
      </c>
      <c r="C122" s="15" t="str">
        <v>Sales</v>
      </c>
      <c r="D122" s="15">
        <v>52000</v>
      </c>
      <c r="E122" s="16">
        <v>43784</v>
      </c>
      <c r="F122" s="17"/>
    </row>
    <row r="123" spans="1:6" x14ac:dyDescent="0.3">
      <c r="A123" s="18" t="s">
        <v>126</v>
      </c>
      <c r="B123" s="15" t="str" cm="1">
        <f t="array" ref="B123:E123">_xlfn.XLOOKUP(A123,[1]Sheet1!$A$1:$A$201,[1]Sheet1!$B$1:$E$201,"Data Not Found",0)</f>
        <v>Shreya Sharma</v>
      </c>
      <c r="C123" s="15" t="str">
        <v>HR</v>
      </c>
      <c r="D123" s="15">
        <v>48000</v>
      </c>
      <c r="E123" s="16">
        <v>44072</v>
      </c>
      <c r="F123" s="19"/>
    </row>
    <row r="124" spans="1:6" x14ac:dyDescent="0.3">
      <c r="A124" s="14" t="s">
        <v>127</v>
      </c>
      <c r="B124" s="15" t="str" cm="1">
        <f t="array" ref="B124:E124">_xlfn.XLOOKUP(A124,[1]Sheet1!$A$1:$A$201,[1]Sheet1!$B$1:$E$201,"Data Not Found",0)</f>
        <v>Varun Joshi</v>
      </c>
      <c r="C124" s="15" t="str">
        <v>IT</v>
      </c>
      <c r="D124" s="15">
        <v>75000</v>
      </c>
      <c r="E124" s="16">
        <v>43164</v>
      </c>
      <c r="F124" s="17"/>
    </row>
    <row r="125" spans="1:6" x14ac:dyDescent="0.3">
      <c r="A125" s="18" t="s">
        <v>128</v>
      </c>
      <c r="B125" s="15" t="str" cm="1">
        <f t="array" ref="B125:E125">_xlfn.XLOOKUP(A125,[1]Sheet1!$A$1:$A$201,[1]Sheet1!$B$1:$E$201,"Data Not Found",0)</f>
        <v>Deepika Rao</v>
      </c>
      <c r="C125" s="15" t="str">
        <v>Finance</v>
      </c>
      <c r="D125" s="15">
        <v>61000</v>
      </c>
      <c r="E125" s="16">
        <v>44337</v>
      </c>
      <c r="F125" s="19"/>
    </row>
    <row r="126" spans="1:6" x14ac:dyDescent="0.3">
      <c r="A126" s="14" t="s">
        <v>129</v>
      </c>
      <c r="B126" s="15" t="str" cm="1">
        <f t="array" ref="B126:E126">_xlfn.XLOOKUP(A126,[1]Sheet1!$A$1:$A$201,[1]Sheet1!$B$1:$E$201,"Data Not Found",0)</f>
        <v>Sameer Khan</v>
      </c>
      <c r="C126" s="15" t="str">
        <v>Marketing</v>
      </c>
      <c r="D126" s="15">
        <v>69000</v>
      </c>
      <c r="E126" s="16">
        <v>42986</v>
      </c>
      <c r="F126" s="17"/>
    </row>
    <row r="127" spans="1:6" x14ac:dyDescent="0.3">
      <c r="A127" s="18" t="s">
        <v>130</v>
      </c>
      <c r="B127" s="15" t="str" cm="1">
        <f t="array" ref="B127:E127">_xlfn.XLOOKUP(A127,[1]Sheet1!$A$1:$A$201,[1]Sheet1!$B$1:$E$201,"Data Not Found",0)</f>
        <v>Anjali Menon</v>
      </c>
      <c r="C127" s="15" t="str">
        <v>Operations</v>
      </c>
      <c r="D127" s="15">
        <v>72000</v>
      </c>
      <c r="E127" s="16">
        <v>44594</v>
      </c>
      <c r="F127" s="19"/>
    </row>
    <row r="128" spans="1:6" x14ac:dyDescent="0.3">
      <c r="A128" s="14" t="s">
        <v>131</v>
      </c>
      <c r="B128" s="15" t="str" cm="1">
        <f t="array" ref="B128:E128">_xlfn.XLOOKUP(A128,[1]Sheet1!$A$1:$A$201,[1]Sheet1!$B$1:$E$201,"Data Not Found",0)</f>
        <v>Rajesh Patel</v>
      </c>
      <c r="C128" s="15" t="str">
        <v>Legal</v>
      </c>
      <c r="D128" s="15">
        <v>50000</v>
      </c>
      <c r="E128" s="16">
        <v>43633</v>
      </c>
      <c r="F128" s="17"/>
    </row>
    <row r="129" spans="1:6" x14ac:dyDescent="0.3">
      <c r="A129" s="18" t="s">
        <v>132</v>
      </c>
      <c r="B129" s="15" t="str" cm="1">
        <f t="array" ref="B129:E129">_xlfn.XLOOKUP(A129,[1]Sheet1!$A$1:$A$201,[1]Sheet1!$B$1:$E$201,"Data Not Found",0)</f>
        <v>Meera Nambiar</v>
      </c>
      <c r="C129" s="15" t="str">
        <v>R&amp;D</v>
      </c>
      <c r="D129" s="15">
        <v>66000</v>
      </c>
      <c r="E129" s="16">
        <v>44127</v>
      </c>
      <c r="F129" s="19"/>
    </row>
    <row r="130" spans="1:6" x14ac:dyDescent="0.3">
      <c r="A130" s="14" t="s">
        <v>133</v>
      </c>
      <c r="B130" s="15" t="str" cm="1">
        <f t="array" ref="B130:E130">_xlfn.XLOOKUP(A130,[1]Sheet1!$A$1:$A$201,[1]Sheet1!$B$1:$E$201,"Data Not Found",0)</f>
        <v>Pranav Kulkarni</v>
      </c>
      <c r="C130" s="15" t="str">
        <v>Support</v>
      </c>
      <c r="D130" s="15">
        <v>58000</v>
      </c>
      <c r="E130" s="16">
        <v>42490</v>
      </c>
      <c r="F130" s="17"/>
    </row>
    <row r="131" spans="1:6" x14ac:dyDescent="0.3">
      <c r="A131" s="18" t="s">
        <v>134</v>
      </c>
      <c r="B131" s="15" t="str" cm="1">
        <f t="array" ref="B131:E131">_xlfn.XLOOKUP(A131,[1]Sheet1!$A$1:$A$201,[1]Sheet1!$B$1:$E$201,"Data Not Found",0)</f>
        <v>Sunita Dutta</v>
      </c>
      <c r="C131" s="15" t="str">
        <v>Admin</v>
      </c>
      <c r="D131" s="15">
        <v>45000</v>
      </c>
      <c r="E131" s="16">
        <v>42192</v>
      </c>
      <c r="F131" s="19"/>
    </row>
    <row r="132" spans="1:6" x14ac:dyDescent="0.3">
      <c r="A132" s="14" t="s">
        <v>135</v>
      </c>
      <c r="B132" s="15" t="str" cm="1">
        <f t="array" ref="B132:E132">_xlfn.XLOOKUP(A132,[1]Sheet1!$A$1:$A$201,[1]Sheet1!$B$1:$E$201,"Data Not Found",0)</f>
        <v>Arnav Sharma</v>
      </c>
      <c r="C132" s="15" t="str">
        <v>Sales</v>
      </c>
      <c r="D132" s="15">
        <v>80000</v>
      </c>
      <c r="E132" s="16">
        <v>43452</v>
      </c>
      <c r="F132" s="17"/>
    </row>
    <row r="133" spans="1:6" x14ac:dyDescent="0.3">
      <c r="A133" s="18" t="s">
        <v>136</v>
      </c>
      <c r="B133" s="15" t="str" cm="1">
        <f t="array" ref="B133:E133">_xlfn.XLOOKUP(A133,[1]Sheet1!$A$1:$A$201,[1]Sheet1!$B$1:$E$201,"Data Not Found",0)</f>
        <v>Anita Verma</v>
      </c>
      <c r="C133" s="15" t="str">
        <v>HR</v>
      </c>
      <c r="D133" s="15">
        <v>54000</v>
      </c>
      <c r="E133" s="16">
        <v>43040</v>
      </c>
      <c r="F133" s="19"/>
    </row>
    <row r="134" spans="1:6" x14ac:dyDescent="0.3">
      <c r="A134" s="14" t="s">
        <v>137</v>
      </c>
      <c r="B134" s="15" t="str" cm="1">
        <f t="array" ref="B134:E134">_xlfn.XLOOKUP(A134,[1]Sheet1!$A$1:$A$201,[1]Sheet1!$B$1:$E$201,"Data Not Found",0)</f>
        <v>Krishna Menon</v>
      </c>
      <c r="C134" s="15" t="str">
        <v>IT</v>
      </c>
      <c r="D134" s="15">
        <v>47000</v>
      </c>
      <c r="E134" s="16">
        <v>44209</v>
      </c>
      <c r="F134" s="17"/>
    </row>
    <row r="135" spans="1:6" x14ac:dyDescent="0.3">
      <c r="A135" s="18" t="s">
        <v>138</v>
      </c>
      <c r="B135" s="15" t="str" cm="1">
        <f t="array" ref="B135:E135">_xlfn.XLOOKUP(A135,[1]Sheet1!$A$1:$A$201,[1]Sheet1!$B$1:$E$201,"Data Not Found",0)</f>
        <v>Rekha Malhotra</v>
      </c>
      <c r="C135" s="15" t="str">
        <v>Finance</v>
      </c>
      <c r="D135" s="15">
        <v>90000</v>
      </c>
      <c r="E135" s="16">
        <v>42606</v>
      </c>
      <c r="F135" s="19"/>
    </row>
    <row r="136" spans="1:6" x14ac:dyDescent="0.3">
      <c r="A136" s="14" t="s">
        <v>139</v>
      </c>
      <c r="B136" s="15" t="str" cm="1">
        <f t="array" ref="B136:E136">_xlfn.XLOOKUP(A136,[1]Sheet1!$A$1:$A$201,[1]Sheet1!$B$1:$E$201,"Data Not Found",0)</f>
        <v>Rahul Chopra</v>
      </c>
      <c r="C136" s="15" t="str">
        <v>Marketing</v>
      </c>
      <c r="D136" s="15">
        <v>62000</v>
      </c>
      <c r="E136" s="16">
        <v>43501</v>
      </c>
      <c r="F136" s="17"/>
    </row>
    <row r="137" spans="1:6" x14ac:dyDescent="0.3">
      <c r="A137" s="18" t="s">
        <v>140</v>
      </c>
      <c r="B137" s="15" t="str" cm="1">
        <f t="array" ref="B137:E137">_xlfn.XLOOKUP(A137,[1]Sheet1!$A$1:$A$201,[1]Sheet1!$B$1:$E$201,"Data Not Found",0)</f>
        <v>Neha Bhattacharya</v>
      </c>
      <c r="C137" s="15" t="str">
        <v>Operations</v>
      </c>
      <c r="D137" s="15">
        <v>73000</v>
      </c>
      <c r="E137" s="16">
        <v>44012</v>
      </c>
      <c r="F137" s="19"/>
    </row>
    <row r="138" spans="1:6" x14ac:dyDescent="0.3">
      <c r="A138" s="14" t="s">
        <v>141</v>
      </c>
      <c r="B138" s="15" t="str" cm="1">
        <f t="array" ref="B138:E138">_xlfn.XLOOKUP(A138,[1]Sheet1!$A$1:$A$201,[1]Sheet1!$B$1:$E$201,"Data Not Found",0)</f>
        <v>Pradeep Iyer</v>
      </c>
      <c r="C138" s="15" t="str">
        <v>Legal</v>
      </c>
      <c r="D138" s="15">
        <v>56000</v>
      </c>
      <c r="E138" s="16">
        <v>42266</v>
      </c>
      <c r="F138" s="17"/>
    </row>
    <row r="139" spans="1:6" x14ac:dyDescent="0.3">
      <c r="A139" s="18" t="s">
        <v>142</v>
      </c>
      <c r="B139" s="15" t="str" cm="1">
        <f t="array" ref="B139:E139">_xlfn.XLOOKUP(A139,[1]Sheet1!$A$1:$A$201,[1]Sheet1!$B$1:$E$201,"Data Not Found",0)</f>
        <v>Ankita Ghosh</v>
      </c>
      <c r="C139" s="15" t="str">
        <v>R&amp;D</v>
      </c>
      <c r="D139" s="15">
        <v>67000</v>
      </c>
      <c r="E139" s="16">
        <v>43198</v>
      </c>
      <c r="F139" s="19"/>
    </row>
    <row r="140" spans="1:6" x14ac:dyDescent="0.3">
      <c r="A140" s="14" t="s">
        <v>143</v>
      </c>
      <c r="B140" s="15" t="str" cm="1">
        <f t="array" ref="B140:E140">_xlfn.XLOOKUP(A140,[1]Sheet1!$A$1:$A$201,[1]Sheet1!$B$1:$E$201,"Data Not Found",0)</f>
        <v>Manish Nair</v>
      </c>
      <c r="C140" s="15" t="str">
        <v>Support</v>
      </c>
      <c r="D140" s="15">
        <v>71000</v>
      </c>
      <c r="E140" s="16">
        <v>44805</v>
      </c>
      <c r="F140" s="17"/>
    </row>
    <row r="141" spans="1:6" x14ac:dyDescent="0.3">
      <c r="A141" s="18" t="s">
        <v>144</v>
      </c>
      <c r="B141" s="15" t="str" cm="1">
        <f t="array" ref="B141:E141">_xlfn.XLOOKUP(A141,[1]Sheet1!$A$1:$A$201,[1]Sheet1!$B$1:$E$201,"Data Not Found",0)</f>
        <v>Divya Kulkarni</v>
      </c>
      <c r="C141" s="15" t="str">
        <v>Admin</v>
      </c>
      <c r="D141" s="15">
        <v>64000</v>
      </c>
      <c r="E141" s="16">
        <v>43079</v>
      </c>
      <c r="F141" s="19"/>
    </row>
    <row r="142" spans="1:6" x14ac:dyDescent="0.3">
      <c r="A142" s="14" t="s">
        <v>145</v>
      </c>
      <c r="B142" s="15" t="str" cm="1">
        <f t="array" ref="B142:E142">_xlfn.XLOOKUP(A142,[1]Sheet1!$A$1:$A$201,[1]Sheet1!$B$1:$E$201,"Data Not Found",0)</f>
        <v>Aditya Shah</v>
      </c>
      <c r="C142" s="15" t="str">
        <v>Sales</v>
      </c>
      <c r="D142" s="15">
        <v>52000</v>
      </c>
      <c r="E142" s="16">
        <v>43557</v>
      </c>
      <c r="F142" s="17"/>
    </row>
    <row r="143" spans="1:6" x14ac:dyDescent="0.3">
      <c r="A143" s="18" t="s">
        <v>146</v>
      </c>
      <c r="B143" s="15" t="str" cm="1">
        <f t="array" ref="B143:E143">_xlfn.XLOOKUP(A143,[1]Sheet1!$A$1:$A$201,[1]Sheet1!$B$1:$E$201,"Data Not Found",0)</f>
        <v>Shalini Menon</v>
      </c>
      <c r="C143" s="15" t="str">
        <v>HR</v>
      </c>
      <c r="D143" s="15">
        <v>48000</v>
      </c>
      <c r="E143" s="16">
        <v>43872</v>
      </c>
      <c r="F143" s="19"/>
    </row>
    <row r="144" spans="1:6" x14ac:dyDescent="0.3">
      <c r="A144" s="14" t="s">
        <v>147</v>
      </c>
      <c r="B144" s="15" t="str" cm="1">
        <f t="array" ref="B144:E144">_xlfn.XLOOKUP(A144,[1]Sheet1!$A$1:$A$201,[1]Sheet1!$B$1:$E$201,"Data Not Found",0)</f>
        <v>Arjun Bhat</v>
      </c>
      <c r="C144" s="15" t="str">
        <v>IT</v>
      </c>
      <c r="D144" s="15">
        <v>75000</v>
      </c>
      <c r="E144" s="16">
        <v>43307</v>
      </c>
      <c r="F144" s="17"/>
    </row>
    <row r="145" spans="1:6" x14ac:dyDescent="0.3">
      <c r="A145" s="18" t="s">
        <v>148</v>
      </c>
      <c r="B145" s="15" t="str" cm="1">
        <f t="array" ref="B145:E145">_xlfn.XLOOKUP(A145,[1]Sheet1!$A$1:$A$201,[1]Sheet1!$B$1:$E$201,"Data Not Found",0)</f>
        <v>Neeta Gupta</v>
      </c>
      <c r="C145" s="15" t="str">
        <v>Finance</v>
      </c>
      <c r="D145" s="15">
        <v>61000</v>
      </c>
      <c r="E145" s="16">
        <v>44484</v>
      </c>
      <c r="F145" s="19"/>
    </row>
    <row r="146" spans="1:6" x14ac:dyDescent="0.3">
      <c r="A146" s="14" t="s">
        <v>149</v>
      </c>
      <c r="B146" s="15" t="str" cm="1">
        <f t="array" ref="B146:E146">_xlfn.XLOOKUP(A146,[1]Sheet1!$A$1:$A$201,[1]Sheet1!$B$1:$E$201,"Data Not Found",0)</f>
        <v>Prerna Kapoor</v>
      </c>
      <c r="C146" s="15" t="str">
        <v>Marketing</v>
      </c>
      <c r="D146" s="15">
        <v>69000</v>
      </c>
      <c r="E146" s="16">
        <v>42879</v>
      </c>
      <c r="F146" s="17"/>
    </row>
    <row r="147" spans="1:6" x14ac:dyDescent="0.3">
      <c r="A147" s="18" t="s">
        <v>150</v>
      </c>
      <c r="B147" s="15" t="str" cm="1">
        <f t="array" ref="B147:E147">_xlfn.XLOOKUP(A147,[1]Sheet1!$A$1:$A$201,[1]Sheet1!$B$1:$E$201,"Data Not Found",0)</f>
        <v>Rajiv Desai</v>
      </c>
      <c r="C147" s="15" t="str">
        <v>Operations</v>
      </c>
      <c r="D147" s="15">
        <v>72000</v>
      </c>
      <c r="E147" s="16">
        <v>44623</v>
      </c>
      <c r="F147" s="19"/>
    </row>
    <row r="148" spans="1:6" x14ac:dyDescent="0.3">
      <c r="A148" s="14" t="s">
        <v>151</v>
      </c>
      <c r="B148" s="15" t="str" cm="1">
        <f t="array" ref="B148:E148">_xlfn.XLOOKUP(A148,[1]Sheet1!$A$1:$A$201,[1]Sheet1!$B$1:$E$201,"Data Not Found",0)</f>
        <v>Anupama Rao</v>
      </c>
      <c r="C148" s="15" t="str">
        <v>Legal</v>
      </c>
      <c r="D148" s="15">
        <v>50000</v>
      </c>
      <c r="E148" s="16">
        <v>43485</v>
      </c>
      <c r="F148" s="17"/>
    </row>
    <row r="149" spans="1:6" x14ac:dyDescent="0.3">
      <c r="A149" s="18" t="s">
        <v>152</v>
      </c>
      <c r="B149" s="15" t="str" cm="1">
        <f t="array" ref="B149:E149">_xlfn.XLOOKUP(A149,[1]Sheet1!$A$1:$A$201,[1]Sheet1!$B$1:$E$201,"Data Not Found",0)</f>
        <v>Sameer Verma</v>
      </c>
      <c r="C149" s="15" t="str">
        <v>R&amp;D</v>
      </c>
      <c r="D149" s="15">
        <v>66000</v>
      </c>
      <c r="E149" s="16">
        <v>44021</v>
      </c>
      <c r="F149" s="19"/>
    </row>
    <row r="150" spans="1:6" x14ac:dyDescent="0.3">
      <c r="A150" s="14" t="s">
        <v>153</v>
      </c>
      <c r="B150" s="15" t="str" cm="1">
        <f t="array" ref="B150:E150">_xlfn.XLOOKUP(A150,[1]Sheet1!$A$1:$A$201,[1]Sheet1!$B$1:$E$201,"Data Not Found",0)</f>
        <v>Meera Singh</v>
      </c>
      <c r="C150" s="15" t="str">
        <v>Support</v>
      </c>
      <c r="D150" s="15">
        <v>58000</v>
      </c>
      <c r="E150" s="16">
        <v>42671</v>
      </c>
      <c r="F150" s="17"/>
    </row>
    <row r="151" spans="1:6" x14ac:dyDescent="0.3">
      <c r="A151" s="18" t="s">
        <v>154</v>
      </c>
      <c r="B151" s="15" t="str" cm="1">
        <f t="array" ref="B151:E151">_xlfn.XLOOKUP(A151,[1]Sheet1!$A$1:$A$201,[1]Sheet1!$B$1:$E$201,"Data Not Found",0)</f>
        <v>Arun Menon</v>
      </c>
      <c r="C151" s="15" t="str">
        <v>Admin</v>
      </c>
      <c r="D151" s="15">
        <v>45000</v>
      </c>
      <c r="E151" s="16">
        <v>42075</v>
      </c>
      <c r="F151" s="19"/>
    </row>
    <row r="152" spans="1:6" x14ac:dyDescent="0.3">
      <c r="A152" s="14" t="s">
        <v>155</v>
      </c>
      <c r="B152" s="15" t="str" cm="1">
        <f t="array" ref="B152:E152">_xlfn.XLOOKUP(A152,[1]Sheet1!$A$1:$A$201,[1]Sheet1!$B$1:$E$201,"Data Not Found",0)</f>
        <v>Neeraj Gupta</v>
      </c>
      <c r="C152" s="15" t="str">
        <v>Sales</v>
      </c>
      <c r="D152" s="15">
        <v>80000</v>
      </c>
      <c r="E152" s="16">
        <v>43221</v>
      </c>
      <c r="F152" s="17"/>
    </row>
    <row r="153" spans="1:6" x14ac:dyDescent="0.3">
      <c r="A153" s="18" t="s">
        <v>156</v>
      </c>
      <c r="B153" s="15" t="str" cm="1">
        <f t="array" ref="B153:E153">_xlfn.XLOOKUP(A153,[1]Sheet1!$A$1:$A$201,[1]Sheet1!$B$1:$E$201,"Data Not Found",0)</f>
        <v>Shweta Sharma</v>
      </c>
      <c r="C153" s="15" t="str">
        <v>HR</v>
      </c>
      <c r="D153" s="15">
        <v>54000</v>
      </c>
      <c r="E153" s="16">
        <v>42902</v>
      </c>
      <c r="F153" s="19"/>
    </row>
    <row r="154" spans="1:6" x14ac:dyDescent="0.3">
      <c r="A154" s="14" t="s">
        <v>157</v>
      </c>
      <c r="B154" s="15" t="str" cm="1">
        <f t="array" ref="B154:E154">_xlfn.XLOOKUP(A154,[1]Sheet1!$A$1:$A$201,[1]Sheet1!$B$1:$E$201,"Data Not Found",0)</f>
        <v>Pratik Patel</v>
      </c>
      <c r="C154" s="15" t="str">
        <v>IT</v>
      </c>
      <c r="D154" s="15">
        <v>47000</v>
      </c>
      <c r="E154" s="16">
        <v>44231</v>
      </c>
      <c r="F154" s="17"/>
    </row>
    <row r="155" spans="1:6" x14ac:dyDescent="0.3">
      <c r="A155" s="18" t="s">
        <v>158</v>
      </c>
      <c r="B155" s="15" t="str" cm="1">
        <f t="array" ref="B155:E155">_xlfn.XLOOKUP(A155,[1]Sheet1!$A$1:$A$201,[1]Sheet1!$B$1:$E$201,"Data Not Found",0)</f>
        <v>Anjali Chawla</v>
      </c>
      <c r="C155" s="15" t="str">
        <v>Finance</v>
      </c>
      <c r="D155" s="15">
        <v>90000</v>
      </c>
      <c r="E155" s="16">
        <v>42697</v>
      </c>
      <c r="F155" s="19"/>
    </row>
    <row r="156" spans="1:6" x14ac:dyDescent="0.3">
      <c r="A156" s="14" t="s">
        <v>159</v>
      </c>
      <c r="B156" s="15" t="str" cm="1">
        <f t="array" ref="B156:E156">_xlfn.XLOOKUP(A156,[1]Sheet1!$A$1:$A$201,[1]Sheet1!$B$1:$E$201,"Data Not Found",0)</f>
        <v>Rohit Bhatt</v>
      </c>
      <c r="C156" s="15" t="str">
        <v>Marketing</v>
      </c>
      <c r="D156" s="15">
        <v>62000</v>
      </c>
      <c r="E156" s="16">
        <v>43689</v>
      </c>
      <c r="F156" s="17"/>
    </row>
    <row r="157" spans="1:6" x14ac:dyDescent="0.3">
      <c r="A157" s="18" t="s">
        <v>160</v>
      </c>
      <c r="B157" s="15" t="str" cm="1">
        <f t="array" ref="B157:E157">_xlfn.XLOOKUP(A157,[1]Sheet1!$A$1:$A$201,[1]Sheet1!$B$1:$E$201,"Data Not Found",0)</f>
        <v>Divya Reddy</v>
      </c>
      <c r="C157" s="15" t="str">
        <v>Operations</v>
      </c>
      <c r="D157" s="15">
        <v>73000</v>
      </c>
      <c r="E157" s="16">
        <v>44194</v>
      </c>
      <c r="F157" s="19"/>
    </row>
    <row r="158" spans="1:6" x14ac:dyDescent="0.3">
      <c r="A158" s="14" t="s">
        <v>161</v>
      </c>
      <c r="B158" s="15" t="str" cm="1">
        <f t="array" ref="B158:E158">_xlfn.XLOOKUP(A158,[1]Sheet1!$A$1:$A$201,[1]Sheet1!$B$1:$E$201,"Data Not Found",0)</f>
        <v>Sunil Iyer</v>
      </c>
      <c r="C158" s="15" t="str">
        <v>Legal</v>
      </c>
      <c r="D158" s="15">
        <v>56000</v>
      </c>
      <c r="E158" s="16">
        <v>42011</v>
      </c>
      <c r="F158" s="17"/>
    </row>
    <row r="159" spans="1:6" x14ac:dyDescent="0.3">
      <c r="A159" s="18" t="s">
        <v>162</v>
      </c>
      <c r="B159" s="15" t="str" cm="1">
        <f t="array" ref="B159:E159">_xlfn.XLOOKUP(A159,[1]Sheet1!$A$1:$A$201,[1]Sheet1!$B$1:$E$201,"Data Not Found",0)</f>
        <v>Megha Banerjee</v>
      </c>
      <c r="C159" s="15" t="str">
        <v>R&amp;D</v>
      </c>
      <c r="D159" s="15">
        <v>67000</v>
      </c>
      <c r="E159" s="16">
        <v>43269</v>
      </c>
      <c r="F159" s="19"/>
    </row>
    <row r="160" spans="1:6" x14ac:dyDescent="0.3">
      <c r="A160" s="14" t="s">
        <v>163</v>
      </c>
      <c r="B160" s="15" t="str" cm="1">
        <f t="array" ref="B160:E160">_xlfn.XLOOKUP(A160,[1]Sheet1!$A$1:$A$201,[1]Sheet1!$B$1:$E$201,"Data Not Found",0)</f>
        <v>Arvind Menon</v>
      </c>
      <c r="C160" s="15" t="str">
        <v>Support</v>
      </c>
      <c r="D160" s="15">
        <v>71000</v>
      </c>
      <c r="E160" s="16">
        <v>44706</v>
      </c>
      <c r="F160" s="17"/>
    </row>
    <row r="161" spans="1:6" x14ac:dyDescent="0.3">
      <c r="A161" s="18" t="s">
        <v>164</v>
      </c>
      <c r="B161" s="15" t="str" cm="1">
        <f t="array" ref="B161:E161">_xlfn.XLOOKUP(A161,[1]Sheet1!$A$1:$A$201,[1]Sheet1!$B$1:$E$201,"Data Not Found",0)</f>
        <v>Anita Saini</v>
      </c>
      <c r="C161" s="15" t="str">
        <v>Admin</v>
      </c>
      <c r="D161" s="15">
        <v>64000</v>
      </c>
      <c r="E161" s="16">
        <v>42768</v>
      </c>
      <c r="F161" s="19"/>
    </row>
    <row r="162" spans="1:6" x14ac:dyDescent="0.3">
      <c r="A162" s="14" t="s">
        <v>165</v>
      </c>
      <c r="B162" s="15" t="str" cm="1">
        <f t="array" ref="B162:E162">_xlfn.XLOOKUP(A162,[1]Sheet1!$A$1:$A$201,[1]Sheet1!$B$1:$E$201,"Data Not Found",0)</f>
        <v>Prakash Sharma</v>
      </c>
      <c r="C162" s="15" t="str">
        <v>Sales</v>
      </c>
      <c r="D162" s="15">
        <v>52000</v>
      </c>
      <c r="E162" s="16">
        <v>43758</v>
      </c>
      <c r="F162" s="17"/>
    </row>
    <row r="163" spans="1:6" x14ac:dyDescent="0.3">
      <c r="A163" s="18" t="s">
        <v>166</v>
      </c>
      <c r="B163" s="15" t="str" cm="1">
        <f t="array" ref="B163:E163">_xlfn.XLOOKUP(A163,[1]Sheet1!$A$1:$A$201,[1]Sheet1!$B$1:$E$201,"Data Not Found",0)</f>
        <v>Neha Verma</v>
      </c>
      <c r="C163" s="15" t="str">
        <v>HR</v>
      </c>
      <c r="D163" s="15">
        <v>48000</v>
      </c>
      <c r="E163" s="16">
        <v>43922</v>
      </c>
      <c r="F163" s="19"/>
    </row>
    <row r="164" spans="1:6" x14ac:dyDescent="0.3">
      <c r="A164" s="14" t="s">
        <v>167</v>
      </c>
      <c r="B164" s="15" t="str" cm="1">
        <f t="array" ref="B164:E164">_xlfn.XLOOKUP(A164,[1]Sheet1!$A$1:$A$201,[1]Sheet1!$B$1:$E$201,"Data Not Found",0)</f>
        <v>Aditya Joshi</v>
      </c>
      <c r="C164" s="15" t="str">
        <v>IT</v>
      </c>
      <c r="D164" s="15">
        <v>75000</v>
      </c>
      <c r="E164" s="16">
        <v>43356</v>
      </c>
      <c r="F164" s="17"/>
    </row>
    <row r="165" spans="1:6" x14ac:dyDescent="0.3">
      <c r="A165" s="18" t="s">
        <v>168</v>
      </c>
      <c r="B165" s="15" t="str" cm="1">
        <f t="array" ref="B165:E165">_xlfn.XLOOKUP(A165,[1]Sheet1!$A$1:$A$201,[1]Sheet1!$B$1:$E$201,"Data Not Found",0)</f>
        <v>Shweta Kapoor</v>
      </c>
      <c r="C165" s="15" t="str">
        <v>Finance</v>
      </c>
      <c r="D165" s="15">
        <v>61000</v>
      </c>
      <c r="E165" s="16">
        <v>44353</v>
      </c>
      <c r="F165" s="19"/>
    </row>
    <row r="166" spans="1:6" x14ac:dyDescent="0.3">
      <c r="A166" s="14" t="s">
        <v>169</v>
      </c>
      <c r="B166" s="15" t="str" cm="1">
        <f t="array" ref="B166:E166">_xlfn.XLOOKUP(A166,[1]Sheet1!$A$1:$A$201,[1]Sheet1!$B$1:$E$201,"Data Not Found",0)</f>
        <v>Manish Reddy</v>
      </c>
      <c r="C166" s="15" t="str">
        <v>Marketing</v>
      </c>
      <c r="D166" s="15">
        <v>69000</v>
      </c>
      <c r="E166" s="16">
        <v>43066</v>
      </c>
      <c r="F166" s="17"/>
    </row>
    <row r="167" spans="1:6" x14ac:dyDescent="0.3">
      <c r="A167" s="18" t="s">
        <v>170</v>
      </c>
      <c r="B167" s="15" t="str" cm="1">
        <f t="array" ref="B167:E167">_xlfn.XLOOKUP(A167,[1]Sheet1!$A$1:$A$201,[1]Sheet1!$B$1:$E$201,"Data Not Found",0)</f>
        <v>Anjali Dutta</v>
      </c>
      <c r="C167" s="15" t="str">
        <v>Operations</v>
      </c>
      <c r="D167" s="15">
        <v>72000</v>
      </c>
      <c r="E167" s="16">
        <v>44576</v>
      </c>
      <c r="F167" s="19"/>
    </row>
    <row r="168" spans="1:6" x14ac:dyDescent="0.3">
      <c r="A168" s="14" t="s">
        <v>171</v>
      </c>
      <c r="B168" s="15" t="str" cm="1">
        <f t="array" ref="B168:E168">_xlfn.XLOOKUP(A168,[1]Sheet1!$A$1:$A$201,[1]Sheet1!$B$1:$E$201,"Data Not Found",0)</f>
        <v>Rajesh Iyer</v>
      </c>
      <c r="C168" s="15" t="str">
        <v>Legal</v>
      </c>
      <c r="D168" s="15">
        <v>50000</v>
      </c>
      <c r="E168" s="16">
        <v>43532</v>
      </c>
      <c r="F168" s="17"/>
    </row>
    <row r="169" spans="1:6" x14ac:dyDescent="0.3">
      <c r="A169" s="18" t="s">
        <v>172</v>
      </c>
      <c r="B169" s="15" t="str" cm="1">
        <f t="array" ref="B169:E169">_xlfn.XLOOKUP(A169,[1]Sheet1!$A$1:$A$201,[1]Sheet1!$B$1:$E$201,"Data Not Found",0)</f>
        <v>Meera Shah</v>
      </c>
      <c r="C169" s="15" t="str">
        <v>R&amp;D</v>
      </c>
      <c r="D169" s="15">
        <v>66000</v>
      </c>
      <c r="E169" s="16">
        <v>44063</v>
      </c>
      <c r="F169" s="19"/>
    </row>
    <row r="170" spans="1:6" x14ac:dyDescent="0.3">
      <c r="A170" s="14" t="s">
        <v>173</v>
      </c>
      <c r="B170" s="15" t="str" cm="1">
        <f t="array" ref="B170:E170">_xlfn.XLOOKUP(A170,[1]Sheet1!$A$1:$A$201,[1]Sheet1!$B$1:$E$201,"Data Not Found",0)</f>
        <v>Pranav Sood</v>
      </c>
      <c r="C170" s="15" t="str">
        <v>Support</v>
      </c>
      <c r="D170" s="15">
        <v>58000</v>
      </c>
      <c r="E170" s="16">
        <v>42409</v>
      </c>
      <c r="F170" s="17"/>
    </row>
    <row r="171" spans="1:6" x14ac:dyDescent="0.3">
      <c r="A171" s="18" t="s">
        <v>174</v>
      </c>
      <c r="B171" s="15" t="str" cm="1">
        <f t="array" ref="B171:E171">_xlfn.XLOOKUP(A171,[1]Sheet1!$A$1:$A$201,[1]Sheet1!$B$1:$E$201,"Data Not Found",0)</f>
        <v>Sunita Menon</v>
      </c>
      <c r="C171" s="15" t="str">
        <v>Admin</v>
      </c>
      <c r="D171" s="15">
        <v>45000</v>
      </c>
      <c r="E171" s="16">
        <v>42277</v>
      </c>
      <c r="F171" s="19"/>
    </row>
    <row r="172" spans="1:6" x14ac:dyDescent="0.3">
      <c r="A172" s="14" t="s">
        <v>175</v>
      </c>
      <c r="B172" s="15" t="str" cm="1">
        <f t="array" ref="B172:E172">_xlfn.XLOOKUP(A172,[1]Sheet1!$A$1:$A$201,[1]Sheet1!$B$1:$E$201,"Data Not Found",0)</f>
        <v>Arjun Chopra</v>
      </c>
      <c r="C172" s="15" t="str">
        <v>Sales</v>
      </c>
      <c r="D172" s="15">
        <v>80000</v>
      </c>
      <c r="E172" s="16">
        <v>43119</v>
      </c>
      <c r="F172" s="17"/>
    </row>
    <row r="173" spans="1:6" x14ac:dyDescent="0.3">
      <c r="A173" s="18" t="s">
        <v>176</v>
      </c>
      <c r="B173" s="15" t="str" cm="1">
        <f t="array" ref="B173:E173">_xlfn.XLOOKUP(A173,[1]Sheet1!$A$1:$A$201,[1]Sheet1!$B$1:$E$201,"Data Not Found",0)</f>
        <v>Neha Nair</v>
      </c>
      <c r="C173" s="15" t="str">
        <v>HR</v>
      </c>
      <c r="D173" s="15">
        <v>54000</v>
      </c>
      <c r="E173" s="16">
        <v>42822</v>
      </c>
      <c r="F173" s="19"/>
    </row>
    <row r="174" spans="1:6" x14ac:dyDescent="0.3">
      <c r="A174" s="14" t="s">
        <v>177</v>
      </c>
      <c r="B174" s="15" t="str" cm="1">
        <f t="array" ref="B174:E174">_xlfn.XLOOKUP(A174,[1]Sheet1!$A$1:$A$201,[1]Sheet1!$B$1:$E$201,"Data Not Found",0)</f>
        <v>Devanshi Gupta</v>
      </c>
      <c r="C174" s="15" t="str">
        <v>IT</v>
      </c>
      <c r="D174" s="15">
        <v>47000</v>
      </c>
      <c r="E174" s="16">
        <v>44325</v>
      </c>
      <c r="F174" s="17"/>
    </row>
    <row r="175" spans="1:6" x14ac:dyDescent="0.3">
      <c r="A175" s="18" t="s">
        <v>178</v>
      </c>
      <c r="B175" s="15" t="str" cm="1">
        <f t="array" ref="B175:E175">_xlfn.XLOOKUP(A175,[1]Sheet1!$A$1:$A$201,[1]Sheet1!$B$1:$E$201,"Data Not Found",0)</f>
        <v>Rakesh Verma</v>
      </c>
      <c r="C175" s="15" t="str">
        <v>Finance</v>
      </c>
      <c r="D175" s="15">
        <v>90000</v>
      </c>
      <c r="E175" s="16">
        <v>42535</v>
      </c>
      <c r="F175" s="19"/>
    </row>
    <row r="176" spans="1:6" x14ac:dyDescent="0.3">
      <c r="A176" s="14" t="s">
        <v>179</v>
      </c>
      <c r="B176" s="15" t="str" cm="1">
        <f t="array" ref="B176:E176">_xlfn.XLOOKUP(A176,[1]Sheet1!$A$1:$A$201,[1]Sheet1!$B$1:$E$201,"Data Not Found",0)</f>
        <v>Shreya Patel</v>
      </c>
      <c r="C176" s="15" t="str">
        <v>Marketing</v>
      </c>
      <c r="D176" s="15">
        <v>62000</v>
      </c>
      <c r="E176" s="16">
        <v>43669</v>
      </c>
      <c r="F176" s="17"/>
    </row>
    <row r="177" spans="1:6" x14ac:dyDescent="0.3">
      <c r="A177" s="18" t="s">
        <v>180</v>
      </c>
      <c r="B177" s="15" t="str" cm="1">
        <f t="array" ref="B177:E177">_xlfn.XLOOKUP(A177,[1]Sheet1!$A$1:$A$201,[1]Sheet1!$B$1:$E$201,"Data Not Found",0)</f>
        <v>Anil Menon</v>
      </c>
      <c r="C177" s="15" t="str">
        <v>Operations</v>
      </c>
      <c r="D177" s="15">
        <v>73000</v>
      </c>
      <c r="E177" s="16">
        <v>44139</v>
      </c>
      <c r="F177" s="19"/>
    </row>
    <row r="178" spans="1:6" x14ac:dyDescent="0.3">
      <c r="A178" s="14" t="s">
        <v>181</v>
      </c>
      <c r="B178" s="15" t="str" cm="1">
        <f t="array" ref="B178:E178">_xlfn.XLOOKUP(A178,[1]Sheet1!$A$1:$A$201,[1]Sheet1!$B$1:$E$201,"Data Not Found",0)</f>
        <v>Rekha Bhat</v>
      </c>
      <c r="C178" s="15" t="str">
        <v>Legal</v>
      </c>
      <c r="D178" s="15">
        <v>56000</v>
      </c>
      <c r="E178" s="16">
        <v>42217</v>
      </c>
      <c r="F178" s="17"/>
    </row>
    <row r="179" spans="1:6" x14ac:dyDescent="0.3">
      <c r="A179" s="18" t="s">
        <v>182</v>
      </c>
      <c r="B179" s="15" t="str" cm="1">
        <f t="array" ref="B179:E179">_xlfn.XLOOKUP(A179,[1]Sheet1!$A$1:$A$201,[1]Sheet1!$B$1:$E$201,"Data Not Found",0)</f>
        <v>Pratik Ghosh</v>
      </c>
      <c r="C179" s="15" t="str">
        <v>R&amp;D</v>
      </c>
      <c r="D179" s="15">
        <v>67000</v>
      </c>
      <c r="E179" s="16">
        <v>43169</v>
      </c>
      <c r="F179" s="19"/>
    </row>
    <row r="180" spans="1:6" x14ac:dyDescent="0.3">
      <c r="A180" s="14" t="s">
        <v>183</v>
      </c>
      <c r="B180" s="15" t="str" cm="1">
        <f t="array" ref="B180:E180">_xlfn.XLOOKUP(A180,[1]Sheet1!$A$1:$A$201,[1]Sheet1!$B$1:$E$201,"Data Not Found",0)</f>
        <v>Manish Kapoor</v>
      </c>
      <c r="C180" s="15" t="str">
        <v>Support</v>
      </c>
      <c r="D180" s="15">
        <v>71000</v>
      </c>
      <c r="E180" s="16">
        <v>44740</v>
      </c>
      <c r="F180" s="17"/>
    </row>
    <row r="181" spans="1:6" x14ac:dyDescent="0.3">
      <c r="A181" s="18" t="s">
        <v>184</v>
      </c>
      <c r="B181" s="15" t="str" cm="1">
        <f t="array" ref="B181:E181">_xlfn.XLOOKUP(A181,[1]Sheet1!$A$1:$A$201,[1]Sheet1!$B$1:$E$201,"Data Not Found",0)</f>
        <v>Divya Nambiar</v>
      </c>
      <c r="C181" s="15" t="str">
        <v>Admin</v>
      </c>
      <c r="D181" s="15">
        <v>64000</v>
      </c>
      <c r="E181" s="16">
        <v>42737</v>
      </c>
      <c r="F181" s="19"/>
    </row>
    <row r="182" spans="1:6" x14ac:dyDescent="0.3">
      <c r="A182" s="14" t="s">
        <v>185</v>
      </c>
      <c r="B182" s="15" t="str" cm="1">
        <f t="array" ref="B182:E182">_xlfn.XLOOKUP(A182,[1]Sheet1!$A$1:$A$201,[1]Sheet1!$B$1:$E$201,"Data Not Found",0)</f>
        <v>Arjun Kumar</v>
      </c>
      <c r="C182" s="15" t="str">
        <v>Sales</v>
      </c>
      <c r="D182" s="15">
        <v>52000</v>
      </c>
      <c r="E182" s="16">
        <v>43622</v>
      </c>
      <c r="F182" s="17"/>
    </row>
    <row r="183" spans="1:6" x14ac:dyDescent="0.3">
      <c r="A183" s="18" t="s">
        <v>186</v>
      </c>
      <c r="B183" s="15" t="str" cm="1">
        <f t="array" ref="B183:E183">_xlfn.XLOOKUP(A183,[1]Sheet1!$A$1:$A$201,[1]Sheet1!$B$1:$E$201,"Data Not Found",0)</f>
        <v>Shalini Iqbal</v>
      </c>
      <c r="C183" s="15" t="str">
        <v>HR</v>
      </c>
      <c r="D183" s="15">
        <v>48000</v>
      </c>
      <c r="E183" s="16">
        <v>44091</v>
      </c>
      <c r="F183" s="19"/>
    </row>
    <row r="184" spans="1:6" x14ac:dyDescent="0.3">
      <c r="A184" s="14" t="s">
        <v>187</v>
      </c>
      <c r="B184" s="15" t="str" cm="1">
        <f t="array" ref="B184:E184">_xlfn.XLOOKUP(A184,[1]Sheet1!$A$1:$A$201,[1]Sheet1!$B$1:$E$201,"Data Not Found",0)</f>
        <v>Krishna Sharma</v>
      </c>
      <c r="C184" s="15" t="str">
        <v>IT</v>
      </c>
      <c r="D184" s="15">
        <v>75000</v>
      </c>
      <c r="E184" s="16">
        <v>43156</v>
      </c>
      <c r="F184" s="17"/>
    </row>
    <row r="185" spans="1:6" x14ac:dyDescent="0.3">
      <c r="A185" s="18" t="s">
        <v>188</v>
      </c>
      <c r="B185" s="15" t="str" cm="1">
        <f t="array" ref="B185:E185">_xlfn.XLOOKUP(A185,[1]Sheet1!$A$1:$A$201,[1]Sheet1!$B$1:$E$201,"Data Not Found",0)</f>
        <v>Neeta Menon</v>
      </c>
      <c r="C185" s="15" t="str">
        <v>Finance</v>
      </c>
      <c r="D185" s="15">
        <v>61000</v>
      </c>
      <c r="E185" s="16">
        <v>44439</v>
      </c>
      <c r="F185" s="19"/>
    </row>
    <row r="186" spans="1:6" x14ac:dyDescent="0.3">
      <c r="A186" s="14" t="s">
        <v>189</v>
      </c>
      <c r="B186" s="15" t="str" cm="1">
        <f t="array" ref="B186:E186">_xlfn.XLOOKUP(A186,[1]Sheet1!$A$1:$A$201,[1]Sheet1!$B$1:$E$201,"Data Not Found",0)</f>
        <v>Rahul Nair</v>
      </c>
      <c r="C186" s="15" t="str">
        <v>Marketing</v>
      </c>
      <c r="D186" s="15">
        <v>69000</v>
      </c>
      <c r="E186" s="16">
        <v>42837</v>
      </c>
      <c r="F186" s="17"/>
    </row>
    <row r="187" spans="1:6" x14ac:dyDescent="0.3">
      <c r="A187" s="18" t="s">
        <v>190</v>
      </c>
      <c r="B187" s="15" t="str" cm="1">
        <f t="array" ref="B187:E187">_xlfn.XLOOKUP(A187,[1]Sheet1!$A$1:$A$201,[1]Sheet1!$B$1:$E$201,"Data Not Found",0)</f>
        <v>Anita Kulkarni</v>
      </c>
      <c r="C187" s="15" t="str">
        <v>Operations</v>
      </c>
      <c r="D187" s="15">
        <v>72000</v>
      </c>
      <c r="E187" s="16">
        <v>44656</v>
      </c>
      <c r="F187" s="19"/>
    </row>
    <row r="188" spans="1:6" x14ac:dyDescent="0.3">
      <c r="A188" s="14" t="s">
        <v>191</v>
      </c>
      <c r="B188" s="15" t="str" cm="1">
        <f t="array" ref="B188:E188">_xlfn.XLOOKUP(A188,[1]Sheet1!$A$1:$A$201,[1]Sheet1!$B$1:$E$201,"Data Not Found",0)</f>
        <v>Praveen Shah</v>
      </c>
      <c r="C188" s="15" t="str">
        <v>Legal</v>
      </c>
      <c r="D188" s="15">
        <v>50000</v>
      </c>
      <c r="E188" s="16">
        <v>43827</v>
      </c>
      <c r="F188" s="17"/>
    </row>
    <row r="189" spans="1:6" x14ac:dyDescent="0.3">
      <c r="A189" s="18" t="s">
        <v>192</v>
      </c>
      <c r="B189" s="15" t="str" cm="1">
        <f t="array" ref="B189:E189">_xlfn.XLOOKUP(A189,[1]Sheet1!$A$1:$A$201,[1]Sheet1!$B$1:$E$201,"Data Not Found",0)</f>
        <v>Megha Bhatt</v>
      </c>
      <c r="C189" s="15" t="str">
        <v>R&amp;D</v>
      </c>
      <c r="D189" s="15">
        <v>66000</v>
      </c>
      <c r="E189" s="16">
        <v>44004</v>
      </c>
      <c r="F189" s="19"/>
    </row>
    <row r="190" spans="1:6" x14ac:dyDescent="0.3">
      <c r="A190" s="14" t="s">
        <v>193</v>
      </c>
      <c r="B190" s="15" t="str" cm="1">
        <f t="array" ref="B190:E190">_xlfn.XLOOKUP(A190,[1]Sheet1!$A$1:$A$201,[1]Sheet1!$B$1:$E$201,"Data Not Found",0)</f>
        <v>Arvind Gupta</v>
      </c>
      <c r="C190" s="15" t="str">
        <v>Support</v>
      </c>
      <c r="D190" s="15">
        <v>58000</v>
      </c>
      <c r="E190" s="16">
        <v>42566</v>
      </c>
      <c r="F190" s="17"/>
    </row>
    <row r="191" spans="1:6" x14ac:dyDescent="0.3">
      <c r="A191" s="18" t="s">
        <v>194</v>
      </c>
      <c r="B191" s="15" t="str" cm="1">
        <f t="array" ref="B191:E191">_xlfn.XLOOKUP(A191,[1]Sheet1!$A$1:$A$201,[1]Sheet1!$B$1:$E$201,"Data Not Found",0)</f>
        <v>Sunita D'Souza</v>
      </c>
      <c r="C191" s="15" t="str">
        <v>Admin</v>
      </c>
      <c r="D191" s="15">
        <v>45000</v>
      </c>
      <c r="E191" s="16">
        <v>42030</v>
      </c>
      <c r="F191" s="19"/>
    </row>
    <row r="192" spans="1:6" x14ac:dyDescent="0.3">
      <c r="A192" s="14" t="s">
        <v>195</v>
      </c>
      <c r="B192" s="15" t="str" cm="1">
        <f t="array" ref="B192:E192">_xlfn.XLOOKUP(A192,[1]Sheet1!$A$1:$A$201,[1]Sheet1!$B$1:$E$201,"Data Not Found",0)</f>
        <v>Aditya Mehta</v>
      </c>
      <c r="C192" s="15" t="str">
        <v>Sales</v>
      </c>
      <c r="D192" s="15">
        <v>80000</v>
      </c>
      <c r="E192" s="16">
        <v>43382</v>
      </c>
      <c r="F192" s="17"/>
    </row>
    <row r="193" spans="1:6" x14ac:dyDescent="0.3">
      <c r="A193" s="18" t="s">
        <v>196</v>
      </c>
      <c r="B193" s="15" t="str" cm="1">
        <f t="array" ref="B193:E193">_xlfn.XLOOKUP(A193,[1]Sheet1!$A$1:$A$201,[1]Sheet1!$B$1:$E$201,"Data Not Found",0)</f>
        <v>Neha Chopra</v>
      </c>
      <c r="C193" s="15" t="str">
        <v>HR</v>
      </c>
      <c r="D193" s="15">
        <v>54000</v>
      </c>
      <c r="E193" s="16">
        <v>42873</v>
      </c>
      <c r="F193" s="19"/>
    </row>
    <row r="194" spans="1:6" x14ac:dyDescent="0.3">
      <c r="A194" s="14" t="s">
        <v>197</v>
      </c>
      <c r="B194" s="15" t="str" cm="1">
        <f t="array" ref="B194:E194">_xlfn.XLOOKUP(A194,[1]Sheet1!$A$1:$A$201,[1]Sheet1!$B$1:$E$201,"Data Not Found",0)</f>
        <v>Devansh Rao</v>
      </c>
      <c r="C194" s="15" t="str">
        <v>IT</v>
      </c>
      <c r="D194" s="15">
        <v>47000</v>
      </c>
      <c r="E194" s="16">
        <v>44378</v>
      </c>
      <c r="F194" s="17"/>
    </row>
    <row r="195" spans="1:6" x14ac:dyDescent="0.3">
      <c r="A195" s="18" t="s">
        <v>198</v>
      </c>
      <c r="B195" s="15" t="str" cm="1">
        <f t="array" ref="B195:E195">_xlfn.XLOOKUP(A195,[1]Sheet1!$A$1:$A$201,[1]Sheet1!$B$1:$E$201,"Data Not Found",0)</f>
        <v>Shreya Menon</v>
      </c>
      <c r="C195" s="15" t="str">
        <v>Finance</v>
      </c>
      <c r="D195" s="15">
        <v>90000</v>
      </c>
      <c r="E195" s="16">
        <v>42715</v>
      </c>
      <c r="F195" s="19"/>
    </row>
    <row r="196" spans="1:6" x14ac:dyDescent="0.3">
      <c r="A196" s="14" t="s">
        <v>199</v>
      </c>
      <c r="B196" s="15" t="str" cm="1">
        <f t="array" ref="B196:E196">_xlfn.XLOOKUP(A196,[1]Sheet1!$A$1:$A$201,[1]Sheet1!$B$1:$E$201,"Data Not Found",0)</f>
        <v>Manish Shah</v>
      </c>
      <c r="C196" s="15" t="str">
        <v>Marketing</v>
      </c>
      <c r="D196" s="15">
        <v>62000</v>
      </c>
      <c r="E196" s="16">
        <v>43553</v>
      </c>
      <c r="F196" s="17"/>
    </row>
    <row r="197" spans="1:6" x14ac:dyDescent="0.3">
      <c r="A197" s="18" t="s">
        <v>200</v>
      </c>
      <c r="B197" s="15" t="str" cm="1">
        <f t="array" ref="B197:E197">_xlfn.XLOOKUP(A197,[1]Sheet1!$A$1:$A$201,[1]Sheet1!$B$1:$E$201,"Data Not Found",0)</f>
        <v>Anjali Iyer</v>
      </c>
      <c r="C197" s="15" t="str">
        <v>Operations</v>
      </c>
      <c r="D197" s="15">
        <v>73000</v>
      </c>
      <c r="E197" s="16">
        <v>43971</v>
      </c>
      <c r="F197" s="19"/>
    </row>
    <row r="198" spans="1:6" x14ac:dyDescent="0.3">
      <c r="A198" s="14" t="s">
        <v>201</v>
      </c>
      <c r="B198" s="15" t="str" cm="1">
        <f t="array" ref="B198:E198">_xlfn.XLOOKUP(A198,[1]Sheet1!$A$1:$A$201,[1]Sheet1!$B$1:$E$201,"Data Not Found",0)</f>
        <v>Prakash Bhatt</v>
      </c>
      <c r="C198" s="15" t="str">
        <v>Legal</v>
      </c>
      <c r="D198" s="15">
        <v>56000</v>
      </c>
      <c r="E198" s="16">
        <v>42283</v>
      </c>
      <c r="F198" s="17"/>
    </row>
    <row r="199" spans="1:6" x14ac:dyDescent="0.3">
      <c r="A199" s="18" t="s">
        <v>202</v>
      </c>
      <c r="B199" s="15" t="str" cm="1">
        <f t="array" ref="B199:E199">_xlfn.XLOOKUP(A199,[1]Sheet1!$A$1:$A$201,[1]Sheet1!$B$1:$E$201,"Data Not Found",0)</f>
        <v>Meera Ghosh</v>
      </c>
      <c r="C199" s="15" t="str">
        <v>R&amp;D</v>
      </c>
      <c r="D199" s="15">
        <v>67000</v>
      </c>
      <c r="E199" s="16">
        <v>43327</v>
      </c>
      <c r="F199" s="19"/>
    </row>
    <row r="200" spans="1:6" x14ac:dyDescent="0.3">
      <c r="A200" s="14" t="s">
        <v>203</v>
      </c>
      <c r="B200" s="15" t="str" cm="1">
        <f t="array" ref="B200:E200">_xlfn.XLOOKUP(A200,[1]Sheet1!$A$1:$A$201,[1]Sheet1!$B$1:$E$201,"Data Not Found",0)</f>
        <v>Arjun Singh</v>
      </c>
      <c r="C200" s="15" t="str">
        <v>Support</v>
      </c>
      <c r="D200" s="15">
        <v>71000</v>
      </c>
      <c r="E200" s="16">
        <v>44600</v>
      </c>
      <c r="F200" s="17"/>
    </row>
    <row r="201" spans="1:6" x14ac:dyDescent="0.3">
      <c r="A201" s="20" t="s">
        <v>204</v>
      </c>
      <c r="B201" s="15" t="str" cm="1">
        <f t="array" ref="B201:E201">_xlfn.XLOOKUP(A201,[1]Sheet1!$A$1:$A$201,[1]Sheet1!$B$1:$E$201,"Data Not Found",0)</f>
        <v>Neeta Patel</v>
      </c>
      <c r="C201" s="15" t="str">
        <v>Admin</v>
      </c>
      <c r="D201" s="15">
        <v>64000</v>
      </c>
      <c r="E201" s="16">
        <v>42950</v>
      </c>
      <c r="F201" s="2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2485-5A00-4041-80EA-BBA8B8004164}">
  <dimension ref="A1:F201"/>
  <sheetViews>
    <sheetView zoomScale="130" zoomScaleNormal="130" workbookViewId="0">
      <selection activeCell="C11" sqref="C11"/>
    </sheetView>
  </sheetViews>
  <sheetFormatPr defaultRowHeight="14.4" x14ac:dyDescent="0.3"/>
  <cols>
    <col min="1" max="1" width="12.21875" customWidth="1"/>
    <col min="2" max="2" width="15.77734375" customWidth="1"/>
    <col min="3" max="3" width="16.33203125" customWidth="1"/>
    <col min="4" max="4" width="11.88671875" customWidth="1"/>
    <col min="5" max="5" width="17.109375" bestFit="1" customWidth="1"/>
    <col min="6" max="6" width="17.109375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205</v>
      </c>
    </row>
    <row r="2" spans="1:6" x14ac:dyDescent="0.3">
      <c r="A2" s="2" t="s">
        <v>5</v>
      </c>
      <c r="B2" s="1" t="str">
        <f>_xlfn.XLOOKUP(Table13[[#This Row],[EmpID]],[1]Sheet1!$A$1:$A$201,[1]Sheet1!$B$1:$B$201,"Data Not Found",0)</f>
        <v>Aarav Sharma</v>
      </c>
      <c r="C2" s="1"/>
      <c r="D2" s="1"/>
      <c r="E2" s="8"/>
      <c r="F2" s="10" t="str">
        <f>_xlfn.XLOOKUP(Table13[[#This Row],[EmpID]],'[1]Sheet5 (2)'!$D$1:$D$201,'[1]Sheet5 (2)'!$A$1:$A$201,"Data Not Found",0)</f>
        <v>12 MG Road</v>
      </c>
    </row>
    <row r="3" spans="1:6" x14ac:dyDescent="0.3">
      <c r="A3" s="2" t="s">
        <v>6</v>
      </c>
      <c r="B3" s="1" t="str">
        <f>_xlfn.XLOOKUP(Table13[[#This Row],[EmpID]],[1]Sheet1!$A$1:$A$201,[1]Sheet1!$B$1:$B$201,"Data Not Found",0)</f>
        <v>Ananya Verma</v>
      </c>
      <c r="C3" s="1"/>
      <c r="D3" s="1"/>
      <c r="E3" s="8"/>
      <c r="F3" s="1" t="str">
        <f>_xlfn.XLOOKUP(Table13[[#This Row],[EmpID]],'[1]Sheet5 (2)'!$D$1:$D$201,'[1]Sheet5 (2)'!$A$1:$A$201,"Data Not Found",0)</f>
        <v>45 Park Street</v>
      </c>
    </row>
    <row r="4" spans="1:6" x14ac:dyDescent="0.3">
      <c r="A4" s="2" t="s">
        <v>7</v>
      </c>
      <c r="B4" s="1" t="str">
        <f>_xlfn.XLOOKUP(Table13[[#This Row],[EmpID]],[1]Sheet1!$A$1:$A$201,[1]Sheet1!$B$1:$B$201,"Data Not Found",0)</f>
        <v>Arjun Patel</v>
      </c>
      <c r="C4" s="1"/>
      <c r="D4" s="1"/>
      <c r="E4" s="8"/>
      <c r="F4" s="1" t="str">
        <f>_xlfn.XLOOKUP(Table13[[#This Row],[EmpID]],'[1]Sheet5 (2)'!$D$1:$D$201,'[1]Sheet5 (2)'!$A$1:$A$201,"Data Not Found",0)</f>
        <v>7 Brigade Road</v>
      </c>
    </row>
    <row r="5" spans="1:6" x14ac:dyDescent="0.3">
      <c r="A5" s="2" t="s">
        <v>8</v>
      </c>
      <c r="B5" s="1" t="str">
        <f>_xlfn.XLOOKUP(Table13[[#This Row],[EmpID]],[1]Sheet1!$A$1:$A$201,[1]Sheet1!$B$1:$B$201,"Data Not Found",0)</f>
        <v>Divya Kapoor</v>
      </c>
      <c r="C5" s="1"/>
      <c r="D5" s="1"/>
      <c r="E5" s="8"/>
      <c r="F5" s="1" t="str">
        <f>_xlfn.XLOOKUP(Table13[[#This Row],[EmpID]],'[1]Sheet5 (2)'!$D$1:$D$201,'[1]Sheet5 (2)'!$A$1:$A$201,"Data Not Found",0)</f>
        <v>88 Anna Salai</v>
      </c>
    </row>
    <row r="6" spans="1:6" ht="12" customHeight="1" x14ac:dyDescent="0.3">
      <c r="A6" s="2" t="s">
        <v>9</v>
      </c>
      <c r="B6" s="1" t="str">
        <f>_xlfn.XLOOKUP(Table13[[#This Row],[EmpID]],[1]Sheet1!$A$1:$A$201,[1]Sheet1!$B$1:$B$201,"Data Not Found",0)</f>
        <v>Rohan Mehta</v>
      </c>
      <c r="C6" s="1"/>
      <c r="D6" s="1"/>
      <c r="E6" s="8"/>
      <c r="F6" s="1" t="str">
        <f>_xlfn.XLOOKUP(Table13[[#This Row],[EmpID]],'[1]Sheet5 (2)'!$D$1:$D$201,'[1]Sheet5 (2)'!$A$1:$A$201,"Data Not Found",0)</f>
        <v>101 Marine Drive</v>
      </c>
    </row>
    <row r="7" spans="1:6" x14ac:dyDescent="0.3">
      <c r="A7" s="2" t="s">
        <v>10</v>
      </c>
      <c r="B7" s="1" t="str">
        <f>_xlfn.XLOOKUP(Table13[[#This Row],[EmpID]],[1]Sheet1!$A$1:$A$201,[1]Sheet1!$B$1:$B$201,"Data Not Found",0)</f>
        <v>Neha Singh</v>
      </c>
      <c r="C7" s="1"/>
      <c r="D7" s="1"/>
      <c r="E7" s="8"/>
      <c r="F7" s="1" t="str">
        <f>_xlfn.XLOOKUP(Table13[[#This Row],[EmpID]],'[1]Sheet5 (2)'!$D$1:$D$201,'[1]Sheet5 (2)'!$A$1:$A$201,"Data Not Found",0)</f>
        <v>22 MG Road</v>
      </c>
    </row>
    <row r="8" spans="1:6" x14ac:dyDescent="0.3">
      <c r="A8" s="2" t="s">
        <v>11</v>
      </c>
      <c r="B8" s="1" t="str">
        <f>_xlfn.XLOOKUP(Table13[[#This Row],[EmpID]],[1]Sheet1!$A$1:$A$201,[1]Sheet1!$B$1:$B$201,"Data Not Found",0)</f>
        <v>Vikram Rao</v>
      </c>
      <c r="C8" s="1"/>
      <c r="D8" s="1"/>
      <c r="E8" s="8"/>
      <c r="F8" s="1" t="str">
        <f>_xlfn.XLOOKUP(Table13[[#This Row],[EmpID]],'[1]Sheet5 (2)'!$D$1:$D$201,'[1]Sheet5 (2)'!$A$1:$A$201,"Data Not Found",0)</f>
        <v>5 Banjara Hills</v>
      </c>
    </row>
    <row r="9" spans="1:6" x14ac:dyDescent="0.3">
      <c r="A9" s="2" t="s">
        <v>12</v>
      </c>
      <c r="B9" s="1" t="str">
        <f>_xlfn.XLOOKUP(Table13[[#This Row],[EmpID]],[1]Sheet1!$A$1:$A$201,[1]Sheet1!$B$1:$B$201,"Data Not Found",0)</f>
        <v>Simran Kaur</v>
      </c>
      <c r="C9" s="1"/>
      <c r="D9" s="1"/>
      <c r="E9" s="8"/>
      <c r="F9" s="1" t="str">
        <f>_xlfn.XLOOKUP(Table13[[#This Row],[EmpID]],'[1]Sheet5 (2)'!$D$1:$D$201,'[1]Sheet5 (2)'!$A$1:$A$201,"Data Not Found",0)</f>
        <v>3 SG Highway</v>
      </c>
    </row>
    <row r="10" spans="1:6" x14ac:dyDescent="0.3">
      <c r="A10" s="2" t="s">
        <v>13</v>
      </c>
      <c r="B10" s="1" t="str">
        <f>_xlfn.XLOOKUP(Table13[[#This Row],[EmpID]],[1]Sheet1!$A$1:$A$201,[1]Sheet1!$B$1:$B$201,"Data Not Found",0)</f>
        <v>Sameer Kulkarni</v>
      </c>
      <c r="C10" s="1"/>
      <c r="D10" s="1"/>
      <c r="E10" s="8"/>
      <c r="F10" s="1" t="str">
        <f>_xlfn.XLOOKUP(Table13[[#This Row],[EmpID]],'[1]Sheet5 (2)'!$D$1:$D$201,'[1]Sheet5 (2)'!$A$1:$A$201,"Data Not Found",0)</f>
        <v>14 Hazratganj</v>
      </c>
    </row>
    <row r="11" spans="1:6" x14ac:dyDescent="0.3">
      <c r="A11" s="2" t="s">
        <v>14</v>
      </c>
      <c r="B11" s="1" t="str">
        <f>_xlfn.XLOOKUP(Table13[[#This Row],[EmpID]],[1]Sheet1!$A$1:$A$201,[1]Sheet1!$B$1:$B$201,"Data Not Found",0)</f>
        <v>Priya Nair</v>
      </c>
      <c r="C11" s="1"/>
      <c r="D11" s="1"/>
      <c r="E11" s="8"/>
      <c r="F11" s="1" t="str">
        <f>_xlfn.XLOOKUP(Table13[[#This Row],[EmpID]],'[1]Sheet5 (2)'!$D$1:$D$201,'[1]Sheet5 (2)'!$A$1:$A$201,"Data Not Found",0)</f>
        <v>9 MI Road</v>
      </c>
    </row>
    <row r="12" spans="1:6" x14ac:dyDescent="0.3">
      <c r="A12" s="2" t="s">
        <v>15</v>
      </c>
      <c r="B12" s="1" t="str">
        <f>_xlfn.XLOOKUP(Table13[[#This Row],[EmpID]],[1]Sheet1!$A$1:$A$201,[1]Sheet1!$B$1:$B$201,"Data Not Found",0)</f>
        <v>Kunal Joshi</v>
      </c>
      <c r="C12" s="1"/>
      <c r="D12" s="1"/>
      <c r="E12" s="8"/>
      <c r="F12" s="1" t="str">
        <f>_xlfn.XLOOKUP(Table13[[#This Row],[EmpID]],'[1]Sheet5 (2)'!$D$1:$D$201,'[1]Sheet5 (2)'!$A$1:$A$201,"Data Not Found",0)</f>
        <v>2 Sector 17</v>
      </c>
    </row>
    <row r="13" spans="1:6" x14ac:dyDescent="0.3">
      <c r="A13" s="2" t="s">
        <v>16</v>
      </c>
      <c r="B13" s="1" t="str">
        <f>_xlfn.XLOOKUP(Table13[[#This Row],[EmpID]],[1]Sheet1!$A$1:$A$201,[1]Sheet1!$B$1:$B$201,"Data Not Found",0)</f>
        <v>Sana Iqbal</v>
      </c>
      <c r="C13" s="1"/>
      <c r="D13" s="1"/>
      <c r="E13" s="8"/>
      <c r="F13" s="1" t="str">
        <f>_xlfn.XLOOKUP(Table13[[#This Row],[EmpID]],'[1]Sheet5 (2)'!$D$1:$D$201,'[1]Sheet5 (2)'!$A$1:$A$201,"Data Not Found",0)</f>
        <v>18 Udyog Vihar</v>
      </c>
    </row>
    <row r="14" spans="1:6" x14ac:dyDescent="0.3">
      <c r="A14" s="2" t="s">
        <v>17</v>
      </c>
      <c r="B14" s="1" t="str">
        <f>_xlfn.XLOOKUP(Table13[[#This Row],[EmpID]],[1]Sheet1!$A$1:$A$201,[1]Sheet1!$B$1:$B$201,"Data Not Found",0)</f>
        <v>Aditya Reddy</v>
      </c>
      <c r="C14" s="1"/>
      <c r="D14" s="1"/>
      <c r="E14" s="8"/>
      <c r="F14" s="1" t="str">
        <f>_xlfn.XLOOKUP(Table13[[#This Row],[EmpID]],'[1]Sheet5 (2)'!$D$1:$D$201,'[1]Sheet5 (2)'!$A$1:$A$201,"Data Not Found",0)</f>
        <v>7 Sector 18</v>
      </c>
    </row>
    <row r="15" spans="1:6" x14ac:dyDescent="0.3">
      <c r="A15" s="2" t="s">
        <v>18</v>
      </c>
      <c r="B15" s="1" t="str">
        <f>_xlfn.XLOOKUP(Table13[[#This Row],[EmpID]],[1]Sheet1!$A$1:$A$201,[1]Sheet1!$B$1:$B$201,"Data Not Found",0)</f>
        <v>Meera Chawla</v>
      </c>
      <c r="C15" s="1"/>
      <c r="D15" s="1"/>
      <c r="E15" s="8"/>
      <c r="F15" s="1" t="str">
        <f>_xlfn.XLOOKUP(Table13[[#This Row],[EmpID]],'[1]Sheet5 (2)'!$D$1:$D$201,'[1]Sheet5 (2)'!$A$1:$A$201,"Data Not Found",0)</f>
        <v>33 Raj Nagar</v>
      </c>
    </row>
    <row r="16" spans="1:6" x14ac:dyDescent="0.3">
      <c r="A16" s="2" t="s">
        <v>19</v>
      </c>
      <c r="B16" s="1" t="str">
        <f>_xlfn.XLOOKUP(Table13[[#This Row],[EmpID]],[1]Sheet1!$A$1:$A$201,[1]Sheet1!$B$1:$B$201,"Data Not Found",0)</f>
        <v>Harsh Malhotra</v>
      </c>
      <c r="C16" s="1"/>
      <c r="D16" s="1"/>
      <c r="E16" s="8"/>
      <c r="F16" s="1" t="str">
        <f>_xlfn.XLOOKUP(Table13[[#This Row],[EmpID]],'[1]Sheet5 (2)'!$D$1:$D$201,'[1]Sheet5 (2)'!$A$1:$A$201,"Data Not Found",0)</f>
        <v>56 Sector 15</v>
      </c>
    </row>
    <row r="17" spans="1:6" x14ac:dyDescent="0.3">
      <c r="A17" s="2" t="s">
        <v>20</v>
      </c>
      <c r="B17" s="1" t="str">
        <f>_xlfn.XLOOKUP(Table13[[#This Row],[EmpID]],[1]Sheet1!$A$1:$A$201,[1]Sheet1!$B$1:$B$201,"Data Not Found",0)</f>
        <v>Anika Desai</v>
      </c>
      <c r="C17" s="1"/>
      <c r="D17" s="1"/>
      <c r="E17" s="8"/>
      <c r="F17" s="1" t="str">
        <f>_xlfn.XLOOKUP(Table13[[#This Row],[EmpID]],'[1]Sheet5 (2)'!$D$1:$D$201,'[1]Sheet5 (2)'!$A$1:$A$201,"Data Not Found",0)</f>
        <v>11 Civil Lines</v>
      </c>
    </row>
    <row r="18" spans="1:6" x14ac:dyDescent="0.3">
      <c r="A18" s="2" t="s">
        <v>21</v>
      </c>
      <c r="B18" s="1" t="str">
        <f>_xlfn.XLOOKUP(Table13[[#This Row],[EmpID]],[1]Sheet1!$A$1:$A$201,[1]Sheet1!$B$1:$B$201,"Data Not Found",0)</f>
        <v>Prateek Bhat</v>
      </c>
      <c r="C18" s="1"/>
      <c r="D18" s="1"/>
      <c r="E18" s="8"/>
      <c r="F18" s="1" t="str">
        <f>_xlfn.XLOOKUP(Table13[[#This Row],[EmpID]],'[1]Sheet5 (2)'!$D$1:$D$201,'[1]Sheet5 (2)'!$A$1:$A$201,"Data Not Found",0)</f>
        <v>4 Ring Road</v>
      </c>
    </row>
    <row r="19" spans="1:6" x14ac:dyDescent="0.3">
      <c r="A19" s="2" t="s">
        <v>22</v>
      </c>
      <c r="B19" s="1" t="str">
        <f>_xlfn.XLOOKUP(Table13[[#This Row],[EmpID]],[1]Sheet1!$A$1:$A$201,[1]Sheet1!$B$1:$B$201,"Data Not Found",0)</f>
        <v>Shreya Ghosh</v>
      </c>
      <c r="C19" s="1"/>
      <c r="D19" s="1"/>
      <c r="E19" s="8"/>
      <c r="F19" s="1" t="str">
        <f>_xlfn.XLOOKUP(Table13[[#This Row],[EmpID]],'[1]Sheet5 (2)'!$D$1:$D$201,'[1]Sheet5 (2)'!$A$1:$A$201,"Data Not Found",0)</f>
        <v>27 Alkapuri</v>
      </c>
    </row>
    <row r="20" spans="1:6" x14ac:dyDescent="0.3">
      <c r="A20" s="2" t="s">
        <v>23</v>
      </c>
      <c r="B20" s="1" t="str">
        <f>_xlfn.XLOOKUP(Table13[[#This Row],[EmpID]],[1]Sheet1!$A$1:$A$201,[1]Sheet1!$B$1:$B$201,"Data Not Found",0)</f>
        <v>Manish Sinha</v>
      </c>
      <c r="C20" s="1"/>
      <c r="D20" s="1"/>
      <c r="E20" s="8"/>
      <c r="F20" s="1" t="str">
        <f>_xlfn.XLOOKUP(Table13[[#This Row],[EmpID]],'[1]Sheet5 (2)'!$D$1:$D$201,'[1]Sheet5 (2)'!$A$1:$A$201,"Data Not Found",0)</f>
        <v>19 Arera Hills</v>
      </c>
    </row>
    <row r="21" spans="1:6" x14ac:dyDescent="0.3">
      <c r="A21" s="2" t="s">
        <v>24</v>
      </c>
      <c r="B21" s="1" t="str">
        <f>_xlfn.XLOOKUP(Table13[[#This Row],[EmpID]],[1]Sheet1!$A$1:$A$201,[1]Sheet1!$B$1:$B$201,"Data Not Found",0)</f>
        <v>Alisha Menon</v>
      </c>
      <c r="C21" s="1"/>
      <c r="D21" s="1"/>
      <c r="E21" s="8"/>
      <c r="F21" s="1" t="str">
        <f>_xlfn.XLOOKUP(Table13[[#This Row],[EmpID]],'[1]Sheet5 (2)'!$D$1:$D$201,'[1]Sheet5 (2)'!$A$1:$A$201,"Data Not Found",0)</f>
        <v>8 MG Road</v>
      </c>
    </row>
    <row r="22" spans="1:6" x14ac:dyDescent="0.3">
      <c r="A22" s="2" t="s">
        <v>25</v>
      </c>
      <c r="B22" s="1" t="str">
        <f>_xlfn.XLOOKUP(Table13[[#This Row],[EmpID]],[1]Sheet1!$A$1:$A$201,[1]Sheet1!$B$1:$B$201,"Data Not Found",0)</f>
        <v>Varun Gupta</v>
      </c>
      <c r="C22" s="1"/>
      <c r="D22" s="1"/>
      <c r="E22" s="8"/>
      <c r="F22" s="1" t="str">
        <f>_xlfn.XLOOKUP(Table13[[#This Row],[EmpID]],'[1]Sheet5 (2)'!$D$1:$D$201,'[1]Sheet5 (2)'!$A$1:$A$201,"Data Not Found",0)</f>
        <v>21 Bailey Road</v>
      </c>
    </row>
    <row r="23" spans="1:6" x14ac:dyDescent="0.3">
      <c r="A23" s="2" t="s">
        <v>26</v>
      </c>
      <c r="B23" s="1" t="str">
        <f>_xlfn.XLOOKUP(Table13[[#This Row],[EmpID]],[1]Sheet1!$A$1:$A$201,[1]Sheet1!$B$1:$B$201,"Data Not Found",0)</f>
        <v>Ritika Sharma</v>
      </c>
      <c r="C23" s="1"/>
      <c r="D23" s="1"/>
      <c r="E23" s="8"/>
      <c r="F23" s="1" t="str">
        <f>_xlfn.XLOOKUP(Table13[[#This Row],[EmpID]],'[1]Sheet5 (2)'!$D$1:$D$201,'[1]Sheet5 (2)'!$A$1:$A$201,"Data Not Found",0)</f>
        <v>12 Doranda Road</v>
      </c>
    </row>
    <row r="24" spans="1:6" x14ac:dyDescent="0.3">
      <c r="A24" s="2" t="s">
        <v>27</v>
      </c>
      <c r="B24" s="1" t="str">
        <f>_xlfn.XLOOKUP(Table13[[#This Row],[EmpID]],[1]Sheet1!$A$1:$A$201,[1]Sheet1!$B$1:$B$201,"Data Not Found",0)</f>
        <v>Ankit Agarwal</v>
      </c>
      <c r="C24" s="1"/>
      <c r="D24" s="1"/>
      <c r="E24" s="8"/>
      <c r="F24" s="1" t="str">
        <f>_xlfn.XLOOKUP(Table13[[#This Row],[EmpID]],'[1]Sheet5 (2)'!$D$1:$D$201,'[1]Sheet5 (2)'!$A$1:$A$201,"Data Not Found",0)</f>
        <v>6 Janpath</v>
      </c>
    </row>
    <row r="25" spans="1:6" x14ac:dyDescent="0.3">
      <c r="A25" s="2" t="s">
        <v>28</v>
      </c>
      <c r="B25" s="1" t="str">
        <f>_xlfn.XLOOKUP(Table13[[#This Row],[EmpID]],[1]Sheet1!$A$1:$A$201,[1]Sheet1!$B$1:$B$201,"Data Not Found",0)</f>
        <v>Deepa Nambiar</v>
      </c>
      <c r="C25" s="1"/>
      <c r="D25" s="1"/>
      <c r="E25" s="8"/>
      <c r="F25" s="1" t="str">
        <f>_xlfn.XLOOKUP(Table13[[#This Row],[EmpID]],'[1]Sheet5 (2)'!$D$1:$D$201,'[1]Sheet5 (2)'!$A$1:$A$201,"Data Not Found",0)</f>
        <v>44 Avinashi Road</v>
      </c>
    </row>
    <row r="26" spans="1:6" x14ac:dyDescent="0.3">
      <c r="A26" s="2" t="s">
        <v>29</v>
      </c>
      <c r="B26" s="1" t="str">
        <f>_xlfn.XLOOKUP(Table13[[#This Row],[EmpID]],[1]Sheet1!$A$1:$A$201,[1]Sheet1!$B$1:$B$201,"Data Not Found",0)</f>
        <v>Siddharth Jain</v>
      </c>
      <c r="C26" s="1"/>
      <c r="D26" s="1"/>
      <c r="E26" s="8"/>
      <c r="F26" s="1" t="str">
        <f>_xlfn.XLOOKUP(Table13[[#This Row],[EmpID]],'[1]Sheet5 (2)'!$D$1:$D$201,'[1]Sheet5 (2)'!$A$1:$A$201,"Data Not Found",0)</f>
        <v>3 MG Road</v>
      </c>
    </row>
    <row r="27" spans="1:6" x14ac:dyDescent="0.3">
      <c r="A27" s="2" t="s">
        <v>30</v>
      </c>
      <c r="B27" s="1" t="str">
        <f>_xlfn.XLOOKUP(Table13[[#This Row],[EmpID]],[1]Sheet1!$A$1:$A$201,[1]Sheet1!$B$1:$B$201,"Data Not Found",0)</f>
        <v>Karishma Bhatt</v>
      </c>
      <c r="C27" s="1"/>
      <c r="D27" s="1"/>
      <c r="E27" s="8"/>
      <c r="F27" s="1" t="str">
        <f>_xlfn.XLOOKUP(Table13[[#This Row],[EmpID]],'[1]Sheet5 (2)'!$D$1:$D$201,'[1]Sheet5 (2)'!$A$1:$A$201,"Data Not Found",0)</f>
        <v>55 Vazhuthacaud</v>
      </c>
    </row>
    <row r="28" spans="1:6" x14ac:dyDescent="0.3">
      <c r="A28" s="2" t="s">
        <v>31</v>
      </c>
      <c r="B28" s="1" t="str">
        <f>_xlfn.XLOOKUP(Table13[[#This Row],[EmpID]],[1]Sheet1!$A$1:$A$201,[1]Sheet1!$B$1:$B$201,"Data Not Found",0)</f>
        <v>Nikhil Kapoor</v>
      </c>
      <c r="C28" s="1"/>
      <c r="D28" s="1"/>
      <c r="E28" s="8"/>
      <c r="F28" s="1" t="str">
        <f>_xlfn.XLOOKUP(Table13[[#This Row],[EmpID]],'[1]Sheet5 (2)'!$D$1:$D$201,'[1]Sheet5 (2)'!$A$1:$A$201,"Data Not Found",0)</f>
        <v>9 Nazarbad</v>
      </c>
    </row>
    <row r="29" spans="1:6" x14ac:dyDescent="0.3">
      <c r="A29" s="2" t="s">
        <v>32</v>
      </c>
      <c r="B29" s="1" t="str">
        <f>_xlfn.XLOOKUP(Table13[[#This Row],[EmpID]],[1]Sheet1!$A$1:$A$201,[1]Sheet1!$B$1:$B$201,"Data Not Found",0)</f>
        <v>Rekha Pillai</v>
      </c>
      <c r="C29" s="1"/>
      <c r="D29" s="1"/>
      <c r="E29" s="8"/>
      <c r="F29" s="1" t="str">
        <f>_xlfn.XLOOKUP(Table13[[#This Row],[EmpID]],'[1]Sheet5 (2)'!$D$1:$D$201,'[1]Sheet5 (2)'!$A$1:$A$201,"Data Not Found",0)</f>
        <v>2 Sitabuldi</v>
      </c>
    </row>
    <row r="30" spans="1:6" x14ac:dyDescent="0.3">
      <c r="A30" s="2" t="s">
        <v>33</v>
      </c>
      <c r="B30" s="1" t="str">
        <f>_xlfn.XLOOKUP(Table13[[#This Row],[EmpID]],[1]Sheet1!$A$1:$A$201,[1]Sheet1!$B$1:$B$201,"Data Not Found",0)</f>
        <v>Pranav Dutta</v>
      </c>
      <c r="C30" s="1"/>
      <c r="D30" s="1"/>
      <c r="E30" s="8"/>
      <c r="F30" s="1" t="str">
        <f>_xlfn.XLOOKUP(Table13[[#This Row],[EmpID]],'[1]Sheet5 (2)'!$D$1:$D$201,'[1]Sheet5 (2)'!$A$1:$A$201,"Data Not Found",0)</f>
        <v>18 College Road</v>
      </c>
    </row>
    <row r="31" spans="1:6" x14ac:dyDescent="0.3">
      <c r="A31" s="2" t="s">
        <v>34</v>
      </c>
      <c r="B31" s="1" t="str">
        <f>_xlfn.XLOOKUP(Table13[[#This Row],[EmpID]],[1]Sheet1!$A$1:$A$201,[1]Sheet1!$B$1:$B$201,"Data Not Found",0)</f>
        <v>Anushka Roy</v>
      </c>
      <c r="C31" s="1"/>
      <c r="D31" s="1"/>
      <c r="E31" s="8"/>
      <c r="F31" s="1" t="str">
        <f>_xlfn.XLOOKUP(Table13[[#This Row],[EmpID]],'[1]Sheet5 (2)'!$D$1:$D$201,'[1]Sheet5 (2)'!$A$1:$A$201,"Data Not Found",0)</f>
        <v>7 Sardarpura</v>
      </c>
    </row>
    <row r="32" spans="1:6" x14ac:dyDescent="0.3">
      <c r="A32" s="2" t="s">
        <v>35</v>
      </c>
      <c r="B32" s="1" t="str">
        <f>_xlfn.XLOOKUP(Table13[[#This Row],[EmpID]],[1]Sheet1!$A$1:$A$201,[1]Sheet1!$B$1:$B$201,"Data Not Found",0)</f>
        <v>Rajiv Menon</v>
      </c>
      <c r="C32" s="1"/>
      <c r="D32" s="1"/>
      <c r="E32" s="8"/>
      <c r="F32" s="1" t="str">
        <f>_xlfn.XLOOKUP(Table13[[#This Row],[EmpID]],'[1]Sheet5 (2)'!$D$1:$D$201,'[1]Sheet5 (2)'!$A$1:$A$201,"Data Not Found",0)</f>
        <v>14 Dewali</v>
      </c>
    </row>
    <row r="33" spans="1:6" x14ac:dyDescent="0.3">
      <c r="A33" s="2" t="s">
        <v>36</v>
      </c>
      <c r="B33" s="1" t="str">
        <f>_xlfn.XLOOKUP(Table13[[#This Row],[EmpID]],[1]Sheet1!$A$1:$A$201,[1]Sheet1!$B$1:$B$201,"Data Not Found",0)</f>
        <v>Shalini Verma</v>
      </c>
      <c r="C33" s="1"/>
      <c r="D33" s="1"/>
      <c r="E33" s="8"/>
      <c r="F33" s="1" t="str">
        <f>_xlfn.XLOOKUP(Table13[[#This Row],[EmpID]],'[1]Sheet5 (2)'!$D$1:$D$201,'[1]Sheet5 (2)'!$A$1:$A$201,"Data Not Found",0)</f>
        <v>28 Sanjay Place</v>
      </c>
    </row>
    <row r="34" spans="1:6" x14ac:dyDescent="0.3">
      <c r="A34" s="2" t="s">
        <v>37</v>
      </c>
      <c r="B34" s="1" t="str">
        <f>_xlfn.XLOOKUP(Table13[[#This Row],[EmpID]],[1]Sheet1!$A$1:$A$201,[1]Sheet1!$B$1:$B$201,"Data Not Found",0)</f>
        <v>Mayank Sood</v>
      </c>
      <c r="C34" s="1"/>
      <c r="D34" s="1"/>
      <c r="E34" s="8"/>
      <c r="F34" s="1" t="str">
        <f>_xlfn.XLOOKUP(Table13[[#This Row],[EmpID]],'[1]Sheet5 (2)'!$D$1:$D$201,'[1]Sheet5 (2)'!$A$1:$A$201,"Data Not Found",0)</f>
        <v>10 Lanka Road</v>
      </c>
    </row>
    <row r="35" spans="1:6" x14ac:dyDescent="0.3">
      <c r="A35" s="2" t="s">
        <v>38</v>
      </c>
      <c r="B35" s="1" t="str">
        <f>_xlfn.XLOOKUP(Table13[[#This Row],[EmpID]],[1]Sheet1!$A$1:$A$201,[1]Sheet1!$B$1:$B$201,"Data Not Found",0)</f>
        <v>Anu Thomas</v>
      </c>
      <c r="C35" s="1"/>
      <c r="D35" s="1"/>
      <c r="E35" s="8"/>
      <c r="F35" s="1" t="str">
        <f>_xlfn.XLOOKUP(Table13[[#This Row],[EmpID]],'[1]Sheet5 (2)'!$D$1:$D$201,'[1]Sheet5 (2)'!$A$1:$A$201,"Data Not Found",0)</f>
        <v>5 Shastri Nagar</v>
      </c>
    </row>
    <row r="36" spans="1:6" x14ac:dyDescent="0.3">
      <c r="A36" s="2" t="s">
        <v>39</v>
      </c>
      <c r="B36" s="1" t="str">
        <f>_xlfn.XLOOKUP(Table13[[#This Row],[EmpID]],[1]Sheet1!$A$1:$A$201,[1]Sheet1!$B$1:$B$201,"Data Not Found",0)</f>
        <v>Arnav Bhattacharya</v>
      </c>
      <c r="C36" s="1"/>
      <c r="D36" s="1"/>
      <c r="E36" s="8"/>
      <c r="F36" s="1" t="str">
        <f>_xlfn.XLOOKUP(Table13[[#This Row],[EmpID]],'[1]Sheet5 (2)'!$D$1:$D$201,'[1]Sheet5 (2)'!$A$1:$A$201,"Data Not Found",0)</f>
        <v>3 Ferozepur Road</v>
      </c>
    </row>
    <row r="37" spans="1:6" x14ac:dyDescent="0.3">
      <c r="A37" s="2" t="s">
        <v>40</v>
      </c>
      <c r="B37" s="1" t="str">
        <f>_xlfn.XLOOKUP(Table13[[#This Row],[EmpID]],[1]Sheet1!$A$1:$A$201,[1]Sheet1!$B$1:$B$201,"Data Not Found",0)</f>
        <v>Neelam Chatterjee</v>
      </c>
      <c r="C37" s="1"/>
      <c r="D37" s="1"/>
      <c r="E37" s="8"/>
      <c r="F37" s="1" t="str">
        <f>_xlfn.XLOOKUP(Table13[[#This Row],[EmpID]],'[1]Sheet5 (2)'!$D$1:$D$201,'[1]Sheet5 (2)'!$A$1:$A$201,"Data Not Found",0)</f>
        <v>12 Lawrence Road</v>
      </c>
    </row>
    <row r="38" spans="1:6" x14ac:dyDescent="0.3">
      <c r="A38" s="2" t="s">
        <v>41</v>
      </c>
      <c r="B38" s="1" t="str">
        <f>_xlfn.XLOOKUP(Table13[[#This Row],[EmpID]],[1]Sheet1!$A$1:$A$201,[1]Sheet1!$B$1:$B$201,"Data Not Found",0)</f>
        <v>Sameer Iyer</v>
      </c>
      <c r="C38" s="1"/>
      <c r="D38" s="1"/>
      <c r="E38" s="8"/>
      <c r="F38" s="1" t="str">
        <f>_xlfn.XLOOKUP(Table13[[#This Row],[EmpID]],'[1]Sheet5 (2)'!$D$1:$D$201,'[1]Sheet5 (2)'!$A$1:$A$201,"Data Not Found",0)</f>
        <v>9 Model Town</v>
      </c>
    </row>
    <row r="39" spans="1:6" x14ac:dyDescent="0.3">
      <c r="A39" s="2" t="s">
        <v>42</v>
      </c>
      <c r="B39" s="1" t="str">
        <f>_xlfn.XLOOKUP(Table13[[#This Row],[EmpID]],[1]Sheet1!$A$1:$A$201,[1]Sheet1!$B$1:$B$201,"Data Not Found",0)</f>
        <v>Divya Rao</v>
      </c>
      <c r="C39" s="1"/>
      <c r="D39" s="1"/>
      <c r="E39" s="8"/>
      <c r="F39" s="1" t="str">
        <f>_xlfn.XLOOKUP(Table13[[#This Row],[EmpID]],'[1]Sheet5 (2)'!$D$1:$D$201,'[1]Sheet5 (2)'!$A$1:$A$201,"Data Not Found",0)</f>
        <v>21 Rajpur Road</v>
      </c>
    </row>
    <row r="40" spans="1:6" x14ac:dyDescent="0.3">
      <c r="A40" s="2" t="s">
        <v>43</v>
      </c>
      <c r="B40" s="1" t="str">
        <f>_xlfn.XLOOKUP(Table13[[#This Row],[EmpID]],[1]Sheet1!$A$1:$A$201,[1]Sheet1!$B$1:$B$201,"Data Not Found",0)</f>
        <v>Akash Nair</v>
      </c>
      <c r="C40" s="1"/>
      <c r="D40" s="1"/>
      <c r="E40" s="8"/>
      <c r="F40" s="1" t="str">
        <f>_xlfn.XLOOKUP(Table13[[#This Row],[EmpID]],'[1]Sheet5 (2)'!$D$1:$D$201,'[1]Sheet5 (2)'!$A$1:$A$201,"Data Not Found",0)</f>
        <v>6 The Mall</v>
      </c>
    </row>
    <row r="41" spans="1:6" x14ac:dyDescent="0.3">
      <c r="A41" s="2" t="s">
        <v>44</v>
      </c>
      <c r="B41" s="1" t="str">
        <f>_xlfn.XLOOKUP(Table13[[#This Row],[EmpID]],[1]Sheet1!$A$1:$A$201,[1]Sheet1!$B$1:$B$201,"Data Not Found",0)</f>
        <v>Smita Kulkarni</v>
      </c>
      <c r="C41" s="1"/>
      <c r="D41" s="1"/>
      <c r="E41" s="8"/>
      <c r="F41" s="1" t="str">
        <f>_xlfn.XLOOKUP(Table13[[#This Row],[EmpID]],'[1]Sheet5 (2)'!$D$1:$D$201,'[1]Sheet5 (2)'!$A$1:$A$201,"Data Not Found",0)</f>
        <v>11 Lal Chowk</v>
      </c>
    </row>
    <row r="42" spans="1:6" x14ac:dyDescent="0.3">
      <c r="A42" s="2" t="s">
        <v>45</v>
      </c>
      <c r="B42" s="1" t="str">
        <f>_xlfn.XLOOKUP(Table13[[#This Row],[EmpID]],[1]Sheet1!$A$1:$A$201,[1]Sheet1!$B$1:$B$201,"Data Not Found",0)</f>
        <v>Anirudh Shah</v>
      </c>
      <c r="C42" s="1"/>
      <c r="D42" s="1"/>
      <c r="E42" s="8"/>
      <c r="F42" s="1" t="str">
        <f>_xlfn.XLOOKUP(Table13[[#This Row],[EmpID]],'[1]Sheet5 (2)'!$D$1:$D$201,'[1]Sheet5 (2)'!$A$1:$A$201,"Data Not Found",0)</f>
        <v>8 GS Road</v>
      </c>
    </row>
    <row r="43" spans="1:6" x14ac:dyDescent="0.3">
      <c r="A43" s="2" t="s">
        <v>46</v>
      </c>
      <c r="B43" s="1" t="str">
        <f>_xlfn.XLOOKUP(Table13[[#This Row],[EmpID]],[1]Sheet1!$A$1:$A$201,[1]Sheet1!$B$1:$B$201,"Data Not Found",0)</f>
        <v>Parul Mehra</v>
      </c>
      <c r="C43" s="1"/>
      <c r="D43" s="1"/>
      <c r="E43" s="8"/>
      <c r="F43" s="1" t="str">
        <f>_xlfn.XLOOKUP(Table13[[#This Row],[EmpID]],'[1]Sheet5 (2)'!$D$1:$D$201,'[1]Sheet5 (2)'!$A$1:$A$201,"Data Not Found",0)</f>
        <v>4 Thangal Bazar</v>
      </c>
    </row>
    <row r="44" spans="1:6" x14ac:dyDescent="0.3">
      <c r="A44" s="2" t="s">
        <v>47</v>
      </c>
      <c r="B44" s="1" t="str">
        <f>_xlfn.XLOOKUP(Table13[[#This Row],[EmpID]],[1]Sheet1!$A$1:$A$201,[1]Sheet1!$B$1:$B$201,"Data Not Found",0)</f>
        <v>Devansh Jain</v>
      </c>
      <c r="C44" s="1"/>
      <c r="D44" s="1"/>
      <c r="E44" s="8"/>
      <c r="F44" s="1" t="str">
        <f>_xlfn.XLOOKUP(Table13[[#This Row],[EmpID]],'[1]Sheet5 (2)'!$D$1:$D$201,'[1]Sheet5 (2)'!$A$1:$A$201,"Data Not Found",0)</f>
        <v>2 VIP Road</v>
      </c>
    </row>
    <row r="45" spans="1:6" x14ac:dyDescent="0.3">
      <c r="A45" s="2" t="s">
        <v>48</v>
      </c>
      <c r="B45" s="1" t="str">
        <f>_xlfn.XLOOKUP(Table13[[#This Row],[EmpID]],[1]Sheet1!$A$1:$A$201,[1]Sheet1!$B$1:$B$201,"Data Not Found",0)</f>
        <v>Neeta Saini</v>
      </c>
      <c r="C45" s="1"/>
      <c r="D45" s="1"/>
      <c r="E45" s="8"/>
      <c r="F45" s="1" t="str">
        <f>_xlfn.XLOOKUP(Table13[[#This Row],[EmpID]],'[1]Sheet5 (2)'!$D$1:$D$201,'[1]Sheet5 (2)'!$A$1:$A$201,"Data Not Found",0)</f>
        <v>7 Kohima Road</v>
      </c>
    </row>
    <row r="46" spans="1:6" x14ac:dyDescent="0.3">
      <c r="A46" s="2" t="s">
        <v>49</v>
      </c>
      <c r="B46" s="1" t="str">
        <f>_xlfn.XLOOKUP(Table13[[#This Row],[EmpID]],[1]Sheet1!$A$1:$A$201,[1]Sheet1!$B$1:$B$201,"Data Not Found",0)</f>
        <v>Arpita Goyal</v>
      </c>
      <c r="C46" s="1"/>
      <c r="D46" s="1"/>
      <c r="E46" s="8"/>
      <c r="F46" s="1" t="str">
        <f>_xlfn.XLOOKUP(Table13[[#This Row],[EmpID]],'[1]Sheet5 (2)'!$D$1:$D$201,'[1]Sheet5 (2)'!$A$1:$A$201,"Data Not Found",0)</f>
        <v>15 Zarkawt</v>
      </c>
    </row>
    <row r="47" spans="1:6" x14ac:dyDescent="0.3">
      <c r="A47" s="2" t="s">
        <v>50</v>
      </c>
      <c r="B47" s="1" t="str">
        <f>_xlfn.XLOOKUP(Table13[[#This Row],[EmpID]],[1]Sheet1!$A$1:$A$201,[1]Sheet1!$B$1:$B$201,"Data Not Found",0)</f>
        <v>Rajesh Nambiar</v>
      </c>
      <c r="C47" s="1"/>
      <c r="D47" s="1"/>
      <c r="E47" s="8"/>
      <c r="F47" s="1" t="str">
        <f>_xlfn.XLOOKUP(Table13[[#This Row],[EmpID]],'[1]Sheet5 (2)'!$D$1:$D$201,'[1]Sheet5 (2)'!$A$1:$A$201,"Data Not Found",0)</f>
        <v>9 Aberdeen Bazaar</v>
      </c>
    </row>
    <row r="48" spans="1:6" x14ac:dyDescent="0.3">
      <c r="A48" s="2" t="s">
        <v>51</v>
      </c>
      <c r="B48" s="1" t="str">
        <f>_xlfn.XLOOKUP(Table13[[#This Row],[EmpID]],[1]Sheet1!$A$1:$A$201,[1]Sheet1!$B$1:$B$201,"Data Not Found",0)</f>
        <v>Sunita Rao</v>
      </c>
      <c r="C48" s="1"/>
      <c r="D48" s="1"/>
      <c r="E48" s="8"/>
      <c r="F48" s="1" t="str">
        <f>_xlfn.XLOOKUP(Table13[[#This Row],[EmpID]],'[1]Sheet5 (2)'!$D$1:$D$201,'[1]Sheet5 (2)'!$A$1:$A$201,"Data Not Found",0)</f>
        <v>33 MG Road</v>
      </c>
    </row>
    <row r="49" spans="1:6" x14ac:dyDescent="0.3">
      <c r="A49" s="2" t="s">
        <v>52</v>
      </c>
      <c r="B49" s="1" t="str">
        <f>_xlfn.XLOOKUP(Table13[[#This Row],[EmpID]],[1]Sheet1!$A$1:$A$201,[1]Sheet1!$B$1:$B$201,"Data Not Found",0)</f>
        <v>Anmol Verma</v>
      </c>
      <c r="C49" s="1"/>
      <c r="D49" s="1"/>
      <c r="E49" s="8"/>
      <c r="F49" s="1" t="str">
        <f>_xlfn.XLOOKUP(Table13[[#This Row],[EmpID]],'[1]Sheet5 (2)'!$D$1:$D$201,'[1]Sheet5 (2)'!$A$1:$A$201,"Data Not Found",0)</f>
        <v>27 Park Street</v>
      </c>
    </row>
    <row r="50" spans="1:6" x14ac:dyDescent="0.3">
      <c r="A50" s="2" t="s">
        <v>53</v>
      </c>
      <c r="B50" s="1" t="str">
        <f>_xlfn.XLOOKUP(Table13[[#This Row],[EmpID]],[1]Sheet1!$A$1:$A$201,[1]Sheet1!$B$1:$B$201,"Data Not Found",0)</f>
        <v>Harpreet Singh</v>
      </c>
      <c r="C50" s="1"/>
      <c r="D50" s="1"/>
      <c r="E50" s="8"/>
      <c r="F50" s="1" t="str">
        <f>_xlfn.XLOOKUP(Table13[[#This Row],[EmpID]],'[1]Sheet5 (2)'!$D$1:$D$201,'[1]Sheet5 (2)'!$A$1:$A$201,"Data Not Found",0)</f>
        <v>18 Church Street</v>
      </c>
    </row>
    <row r="51" spans="1:6" x14ac:dyDescent="0.3">
      <c r="A51" s="2" t="s">
        <v>54</v>
      </c>
      <c r="B51" s="1" t="str">
        <f>_xlfn.XLOOKUP(Table13[[#This Row],[EmpID]],[1]Sheet1!$A$1:$A$201,[1]Sheet1!$B$1:$B$201,"Data Not Found",0)</f>
        <v>Leena D'Souza</v>
      </c>
      <c r="C51" s="1"/>
      <c r="D51" s="1"/>
      <c r="E51" s="8"/>
      <c r="F51" s="1" t="str">
        <f>_xlfn.XLOOKUP(Table13[[#This Row],[EmpID]],'[1]Sheet5 (2)'!$D$1:$D$201,'[1]Sheet5 (2)'!$A$1:$A$201,"Data Not Found",0)</f>
        <v>44 T Nagar</v>
      </c>
    </row>
    <row r="52" spans="1:6" x14ac:dyDescent="0.3">
      <c r="A52" s="2" t="s">
        <v>55</v>
      </c>
      <c r="B52" s="1" t="str">
        <f>_xlfn.XLOOKUP(Table13[[#This Row],[EmpID]],[1]Sheet1!$A$1:$A$201,[1]Sheet1!$B$1:$B$201,"Data Not Found",0)</f>
        <v>Prakash Kulkarni</v>
      </c>
      <c r="C52" s="1"/>
      <c r="D52" s="1"/>
      <c r="E52" s="8"/>
      <c r="F52" s="1" t="str">
        <f>_xlfn.XLOOKUP(Table13[[#This Row],[EmpID]],'[1]Sheet5 (2)'!$D$1:$D$201,'[1]Sheet5 (2)'!$A$1:$A$201,"Data Not Found",0)</f>
        <v>66 Colaba Causeway</v>
      </c>
    </row>
    <row r="53" spans="1:6" x14ac:dyDescent="0.3">
      <c r="A53" s="2" t="s">
        <v>56</v>
      </c>
      <c r="B53" s="1" t="str">
        <f>_xlfn.XLOOKUP(Table13[[#This Row],[EmpID]],[1]Sheet1!$A$1:$A$201,[1]Sheet1!$B$1:$B$201,"Data Not Found",0)</f>
        <v>Shweta Bansal</v>
      </c>
      <c r="C53" s="1"/>
      <c r="D53" s="1"/>
      <c r="E53" s="8"/>
      <c r="F53" s="1" t="str">
        <f>_xlfn.XLOOKUP(Table13[[#This Row],[EmpID]],'[1]Sheet5 (2)'!$D$1:$D$201,'[1]Sheet5 (2)'!$A$1:$A$201,"Data Not Found",0)</f>
        <v>12 Koregaon Park</v>
      </c>
    </row>
    <row r="54" spans="1:6" x14ac:dyDescent="0.3">
      <c r="A54" s="2" t="s">
        <v>57</v>
      </c>
      <c r="B54" s="1" t="str">
        <f>_xlfn.XLOOKUP(Table13[[#This Row],[EmpID]],[1]Sheet1!$A$1:$A$201,[1]Sheet1!$B$1:$B$201,"Data Not Found",0)</f>
        <v>Arjun Nair</v>
      </c>
      <c r="C54" s="1"/>
      <c r="D54" s="1"/>
      <c r="E54" s="8"/>
      <c r="F54" s="1" t="str">
        <f>_xlfn.XLOOKUP(Table13[[#This Row],[EmpID]],'[1]Sheet5 (2)'!$D$1:$D$201,'[1]Sheet5 (2)'!$A$1:$A$201,"Data Not Found",0)</f>
        <v>5 Banjara Hills</v>
      </c>
    </row>
    <row r="55" spans="1:6" x14ac:dyDescent="0.3">
      <c r="A55" s="2" t="s">
        <v>58</v>
      </c>
      <c r="B55" s="1" t="str">
        <f>_xlfn.XLOOKUP(Table13[[#This Row],[EmpID]],[1]Sheet1!$A$1:$A$201,[1]Sheet1!$B$1:$B$201,"Data Not Found",0)</f>
        <v>Monica Rao</v>
      </c>
      <c r="C55" s="1"/>
      <c r="D55" s="1"/>
      <c r="E55" s="8"/>
      <c r="F55" s="1" t="str">
        <f>_xlfn.XLOOKUP(Table13[[#This Row],[EmpID]],'[1]Sheet5 (2)'!$D$1:$D$201,'[1]Sheet5 (2)'!$A$1:$A$201,"Data Not Found",0)</f>
        <v>8 CG Road</v>
      </c>
    </row>
    <row r="56" spans="1:6" x14ac:dyDescent="0.3">
      <c r="A56" s="2" t="s">
        <v>59</v>
      </c>
      <c r="B56" s="1" t="str">
        <f>_xlfn.XLOOKUP(Table13[[#This Row],[EmpID]],[1]Sheet1!$A$1:$A$201,[1]Sheet1!$B$1:$B$201,"Data Not Found",0)</f>
        <v>Vivek Sharma</v>
      </c>
      <c r="C56" s="1"/>
      <c r="D56" s="1"/>
      <c r="E56" s="8"/>
      <c r="F56" s="1" t="str">
        <f>_xlfn.XLOOKUP(Table13[[#This Row],[EmpID]],'[1]Sheet5 (2)'!$D$1:$D$201,'[1]Sheet5 (2)'!$A$1:$A$201,"Data Not Found",0)</f>
        <v>20 Hazratganj</v>
      </c>
    </row>
    <row r="57" spans="1:6" x14ac:dyDescent="0.3">
      <c r="A57" s="2" t="s">
        <v>60</v>
      </c>
      <c r="B57" s="1" t="str">
        <f>_xlfn.XLOOKUP(Table13[[#This Row],[EmpID]],[1]Sheet1!$A$1:$A$201,[1]Sheet1!$B$1:$B$201,"Data Not Found",0)</f>
        <v>Rachna Kapoor</v>
      </c>
      <c r="C57" s="1"/>
      <c r="D57" s="1"/>
      <c r="E57" s="8"/>
      <c r="F57" s="1" t="str">
        <f>_xlfn.XLOOKUP(Table13[[#This Row],[EmpID]],'[1]Sheet5 (2)'!$D$1:$D$201,'[1]Sheet5 (2)'!$A$1:$A$201,"Data Not Found",0)</f>
        <v>3 MI Road</v>
      </c>
    </row>
    <row r="58" spans="1:6" x14ac:dyDescent="0.3">
      <c r="A58" s="2" t="s">
        <v>61</v>
      </c>
      <c r="B58" s="1" t="str">
        <f>_xlfn.XLOOKUP(Table13[[#This Row],[EmpID]],[1]Sheet1!$A$1:$A$201,[1]Sheet1!$B$1:$B$201,"Data Not Found",0)</f>
        <v>Anil Deshmukh</v>
      </c>
      <c r="C58" s="1"/>
      <c r="D58" s="1"/>
      <c r="E58" s="8"/>
      <c r="F58" s="1" t="str">
        <f>_xlfn.XLOOKUP(Table13[[#This Row],[EmpID]],'[1]Sheet5 (2)'!$D$1:$D$201,'[1]Sheet5 (2)'!$A$1:$A$201,"Data Not Found",0)</f>
        <v>11 Sector 17</v>
      </c>
    </row>
    <row r="59" spans="1:6" x14ac:dyDescent="0.3">
      <c r="A59" s="2" t="s">
        <v>62</v>
      </c>
      <c r="B59" s="1" t="str">
        <f>_xlfn.XLOOKUP(Table13[[#This Row],[EmpID]],[1]Sheet1!$A$1:$A$201,[1]Sheet1!$B$1:$B$201,"Data Not Found",0)</f>
        <v>Trisha Banerjee</v>
      </c>
      <c r="C59" s="1"/>
      <c r="D59" s="1"/>
      <c r="E59" s="8"/>
      <c r="F59" s="1" t="str">
        <f>_xlfn.XLOOKUP(Table13[[#This Row],[EmpID]],'[1]Sheet5 (2)'!$D$1:$D$201,'[1]Sheet5 (2)'!$A$1:$A$201,"Data Not Found",0)</f>
        <v>29 Udyog Vihar</v>
      </c>
    </row>
    <row r="60" spans="1:6" x14ac:dyDescent="0.3">
      <c r="A60" s="2" t="s">
        <v>63</v>
      </c>
      <c r="B60" s="1" t="str">
        <f>_xlfn.XLOOKUP(Table13[[#This Row],[EmpID]],[1]Sheet1!$A$1:$A$201,[1]Sheet1!$B$1:$B$201,"Data Not Found",0)</f>
        <v>Rajeev Menon</v>
      </c>
      <c r="C60" s="1"/>
      <c r="D60" s="1"/>
      <c r="E60" s="8"/>
      <c r="F60" s="1" t="str">
        <f>_xlfn.XLOOKUP(Table13[[#This Row],[EmpID]],'[1]Sheet5 (2)'!$D$1:$D$201,'[1]Sheet5 (2)'!$A$1:$A$201,"Data Not Found",0)</f>
        <v>14 Sector 62</v>
      </c>
    </row>
    <row r="61" spans="1:6" x14ac:dyDescent="0.3">
      <c r="A61" s="2" t="s">
        <v>64</v>
      </c>
      <c r="B61" s="1" t="str">
        <f>_xlfn.XLOOKUP(Table13[[#This Row],[EmpID]],[1]Sheet1!$A$1:$A$201,[1]Sheet1!$B$1:$B$201,"Data Not Found",0)</f>
        <v>Megha Sinha</v>
      </c>
      <c r="C61" s="1"/>
      <c r="D61" s="1"/>
      <c r="E61" s="8"/>
      <c r="F61" s="1" t="str">
        <f>_xlfn.XLOOKUP(Table13[[#This Row],[EmpID]],'[1]Sheet5 (2)'!$D$1:$D$201,'[1]Sheet5 (2)'!$A$1:$A$201,"Data Not Found",0)</f>
        <v>2 Indirapuram</v>
      </c>
    </row>
    <row r="62" spans="1:6" x14ac:dyDescent="0.3">
      <c r="A62" s="2" t="s">
        <v>65</v>
      </c>
      <c r="B62" s="1" t="str">
        <f>_xlfn.XLOOKUP(Table13[[#This Row],[EmpID]],[1]Sheet1!$A$1:$A$201,[1]Sheet1!$B$1:$B$201,"Data Not Found",0)</f>
        <v>Sameer Patel</v>
      </c>
      <c r="C62" s="1"/>
      <c r="D62" s="1"/>
      <c r="E62" s="8"/>
      <c r="F62" s="1" t="str">
        <f>_xlfn.XLOOKUP(Table13[[#This Row],[EmpID]],'[1]Sheet5 (2)'!$D$1:$D$201,'[1]Sheet5 (2)'!$A$1:$A$201,"Data Not Found",0)</f>
        <v>9 Sector 15</v>
      </c>
    </row>
    <row r="63" spans="1:6" x14ac:dyDescent="0.3">
      <c r="A63" s="2" t="s">
        <v>66</v>
      </c>
      <c r="B63" s="1" t="str">
        <f>_xlfn.XLOOKUP(Table13[[#This Row],[EmpID]],[1]Sheet1!$A$1:$A$201,[1]Sheet1!$B$1:$B$201,"Data Not Found",0)</f>
        <v>Anjali Rao</v>
      </c>
      <c r="C63" s="1"/>
      <c r="D63" s="1"/>
      <c r="E63" s="8"/>
      <c r="F63" s="1" t="str">
        <f>_xlfn.XLOOKUP(Table13[[#This Row],[EmpID]],'[1]Sheet5 (2)'!$D$1:$D$201,'[1]Sheet5 (2)'!$A$1:$A$201,"Data Not Found",0)</f>
        <v>18 Swaroop Nagar</v>
      </c>
    </row>
    <row r="64" spans="1:6" x14ac:dyDescent="0.3">
      <c r="A64" s="2" t="s">
        <v>67</v>
      </c>
      <c r="B64" s="1" t="str">
        <f>_xlfn.XLOOKUP(Table13[[#This Row],[EmpID]],[1]Sheet1!$A$1:$A$201,[1]Sheet1!$B$1:$B$201,"Data Not Found",0)</f>
        <v>Krishna Iyer</v>
      </c>
      <c r="C64" s="1"/>
      <c r="D64" s="1"/>
      <c r="E64" s="8"/>
      <c r="F64" s="1" t="str">
        <f>_xlfn.XLOOKUP(Table13[[#This Row],[EmpID]],'[1]Sheet5 (2)'!$D$1:$D$201,'[1]Sheet5 (2)'!$A$1:$A$201,"Data Not Found",0)</f>
        <v>7 Athwagate</v>
      </c>
    </row>
    <row r="65" spans="1:6" x14ac:dyDescent="0.3">
      <c r="A65" s="2" t="s">
        <v>68</v>
      </c>
      <c r="B65" s="1" t="str">
        <f>_xlfn.XLOOKUP(Table13[[#This Row],[EmpID]],[1]Sheet1!$A$1:$A$201,[1]Sheet1!$B$1:$B$201,"Data Not Found",0)</f>
        <v>Shivani Gupta</v>
      </c>
      <c r="C65" s="1"/>
      <c r="D65" s="1"/>
      <c r="E65" s="8"/>
      <c r="F65" s="1" t="str">
        <f>_xlfn.XLOOKUP(Table13[[#This Row],[EmpID]],'[1]Sheet5 (2)'!$D$1:$D$201,'[1]Sheet5 (2)'!$A$1:$A$201,"Data Not Found",0)</f>
        <v>21 Sama Road</v>
      </c>
    </row>
    <row r="66" spans="1:6" x14ac:dyDescent="0.3">
      <c r="A66" s="2" t="s">
        <v>69</v>
      </c>
      <c r="B66" s="1" t="str">
        <f>_xlfn.XLOOKUP(Table13[[#This Row],[EmpID]],[1]Sheet1!$A$1:$A$201,[1]Sheet1!$B$1:$B$201,"Data Not Found",0)</f>
        <v>Aditya Malhotra</v>
      </c>
      <c r="C66" s="1"/>
      <c r="D66" s="1"/>
      <c r="E66" s="8"/>
      <c r="F66" s="1" t="str">
        <f>_xlfn.XLOOKUP(Table13[[#This Row],[EmpID]],'[1]Sheet5 (2)'!$D$1:$D$201,'[1]Sheet5 (2)'!$A$1:$A$201,"Data Not Found",0)</f>
        <v>16 Bittan Market</v>
      </c>
    </row>
    <row r="67" spans="1:6" x14ac:dyDescent="0.3">
      <c r="A67" s="2" t="s">
        <v>70</v>
      </c>
      <c r="B67" s="1" t="str">
        <f>_xlfn.XLOOKUP(Table13[[#This Row],[EmpID]],[1]Sheet1!$A$1:$A$201,[1]Sheet1!$B$1:$B$201,"Data Not Found",0)</f>
        <v>Pooja Sharma</v>
      </c>
      <c r="C67" s="1"/>
      <c r="D67" s="1"/>
      <c r="E67" s="8"/>
      <c r="F67" s="1" t="str">
        <f>_xlfn.XLOOKUP(Table13[[#This Row],[EmpID]],'[1]Sheet5 (2)'!$D$1:$D$201,'[1]Sheet5 (2)'!$A$1:$A$201,"Data Not Found",0)</f>
        <v>4 MR10 Road</v>
      </c>
    </row>
    <row r="68" spans="1:6" x14ac:dyDescent="0.3">
      <c r="A68" s="2" t="s">
        <v>71</v>
      </c>
      <c r="B68" s="1" t="str">
        <f>_xlfn.XLOOKUP(Table13[[#This Row],[EmpID]],[1]Sheet1!$A$1:$A$201,[1]Sheet1!$B$1:$B$201,"Data Not Found",0)</f>
        <v>Raj Kumar</v>
      </c>
      <c r="C68" s="1"/>
      <c r="D68" s="1"/>
      <c r="E68" s="8"/>
      <c r="F68" s="1" t="str">
        <f>_xlfn.XLOOKUP(Table13[[#This Row],[EmpID]],'[1]Sheet5 (2)'!$D$1:$D$201,'[1]Sheet5 (2)'!$A$1:$A$201,"Data Not Found",0)</f>
        <v>12 Kankarbagh</v>
      </c>
    </row>
    <row r="69" spans="1:6" x14ac:dyDescent="0.3">
      <c r="A69" s="2" t="s">
        <v>72</v>
      </c>
      <c r="B69" s="1" t="str">
        <f>_xlfn.XLOOKUP(Table13[[#This Row],[EmpID]],[1]Sheet1!$A$1:$A$201,[1]Sheet1!$B$1:$B$201,"Data Not Found",0)</f>
        <v>Neelima Joshi</v>
      </c>
      <c r="C69" s="1"/>
      <c r="D69" s="1"/>
      <c r="E69" s="8"/>
      <c r="F69" s="1" t="str">
        <f>_xlfn.XLOOKUP(Table13[[#This Row],[EmpID]],'[1]Sheet5 (2)'!$D$1:$D$201,'[1]Sheet5 (2)'!$A$1:$A$201,"Data Not Found",0)</f>
        <v>8 Hinoo Road</v>
      </c>
    </row>
    <row r="70" spans="1:6" x14ac:dyDescent="0.3">
      <c r="A70" s="2" t="s">
        <v>73</v>
      </c>
      <c r="B70" s="1" t="str">
        <f>_xlfn.XLOOKUP(Table13[[#This Row],[EmpID]],[1]Sheet1!$A$1:$A$201,[1]Sheet1!$B$1:$B$201,"Data Not Found",0)</f>
        <v>Anupam Roy</v>
      </c>
      <c r="C70" s="1"/>
      <c r="D70" s="1"/>
      <c r="E70" s="8"/>
      <c r="F70" s="1" t="str">
        <f>_xlfn.XLOOKUP(Table13[[#This Row],[EmpID]],'[1]Sheet5 (2)'!$D$1:$D$201,'[1]Sheet5 (2)'!$A$1:$A$201,"Data Not Found",0)</f>
        <v>5 Rasulgarh</v>
      </c>
    </row>
    <row r="71" spans="1:6" x14ac:dyDescent="0.3">
      <c r="A71" s="2" t="s">
        <v>74</v>
      </c>
      <c r="B71" s="1" t="str">
        <f>_xlfn.XLOOKUP(Table13[[#This Row],[EmpID]],[1]Sheet1!$A$1:$A$201,[1]Sheet1!$B$1:$B$201,"Data Not Found",0)</f>
        <v>Sonia Bhat</v>
      </c>
      <c r="C71" s="1"/>
      <c r="D71" s="1"/>
      <c r="E71" s="8"/>
      <c r="F71" s="1" t="str">
        <f>_xlfn.XLOOKUP(Table13[[#This Row],[EmpID]],'[1]Sheet5 (2)'!$D$1:$D$201,'[1]Sheet5 (2)'!$A$1:$A$201,"Data Not Found",0)</f>
        <v>10 Gandhipuram</v>
      </c>
    </row>
    <row r="72" spans="1:6" x14ac:dyDescent="0.3">
      <c r="A72" s="2" t="s">
        <v>75</v>
      </c>
      <c r="B72" s="1" t="str">
        <f>_xlfn.XLOOKUP(Table13[[#This Row],[EmpID]],[1]Sheet1!$A$1:$A$201,[1]Sheet1!$B$1:$B$201,"Data Not Found",0)</f>
        <v>Arvind Chopra</v>
      </c>
      <c r="C72" s="1"/>
      <c r="D72" s="1"/>
      <c r="E72" s="8"/>
      <c r="F72" s="1" t="str">
        <f>_xlfn.XLOOKUP(Table13[[#This Row],[EmpID]],'[1]Sheet5 (2)'!$D$1:$D$201,'[1]Sheet5 (2)'!$A$1:$A$201,"Data Not Found",0)</f>
        <v>3 Fort Kochi</v>
      </c>
    </row>
    <row r="73" spans="1:6" x14ac:dyDescent="0.3">
      <c r="A73" s="2" t="s">
        <v>76</v>
      </c>
      <c r="B73" s="1" t="str">
        <f>_xlfn.XLOOKUP(Table13[[#This Row],[EmpID]],[1]Sheet1!$A$1:$A$201,[1]Sheet1!$B$1:$B$201,"Data Not Found",0)</f>
        <v>Meera Iyer</v>
      </c>
      <c r="C73" s="1"/>
      <c r="D73" s="1"/>
      <c r="E73" s="8"/>
      <c r="F73" s="1" t="str">
        <f>_xlfn.XLOOKUP(Table13[[#This Row],[EmpID]],'[1]Sheet5 (2)'!$D$1:$D$201,'[1]Sheet5 (2)'!$A$1:$A$201,"Data Not Found",0)</f>
        <v>22 Pattom</v>
      </c>
    </row>
    <row r="74" spans="1:6" x14ac:dyDescent="0.3">
      <c r="A74" s="2" t="s">
        <v>77</v>
      </c>
      <c r="B74" s="1" t="str">
        <f>_xlfn.XLOOKUP(Table13[[#This Row],[EmpID]],[1]Sheet1!$A$1:$A$201,[1]Sheet1!$B$1:$B$201,"Data Not Found",0)</f>
        <v>Pranav Shah</v>
      </c>
      <c r="C74" s="1"/>
      <c r="D74" s="1"/>
      <c r="E74" s="8"/>
      <c r="F74" s="1" t="str">
        <f>_xlfn.XLOOKUP(Table13[[#This Row],[EmpID]],'[1]Sheet5 (2)'!$D$1:$D$201,'[1]Sheet5 (2)'!$A$1:$A$201,"Data Not Found",0)</f>
        <v>6 Nazarbad Road</v>
      </c>
    </row>
    <row r="75" spans="1:6" x14ac:dyDescent="0.3">
      <c r="A75" s="2" t="s">
        <v>78</v>
      </c>
      <c r="B75" s="1" t="str">
        <f>_xlfn.XLOOKUP(Table13[[#This Row],[EmpID]],[1]Sheet1!$A$1:$A$201,[1]Sheet1!$B$1:$B$201,"Data Not Found",0)</f>
        <v>Shikha Sood</v>
      </c>
      <c r="C75" s="1"/>
      <c r="D75" s="1"/>
      <c r="E75" s="8"/>
      <c r="F75" s="1" t="str">
        <f>_xlfn.XLOOKUP(Table13[[#This Row],[EmpID]],'[1]Sheet5 (2)'!$D$1:$D$201,'[1]Sheet5 (2)'!$A$1:$A$201,"Data Not Found",0)</f>
        <v>11 Dharampeth</v>
      </c>
    </row>
    <row r="76" spans="1:6" x14ac:dyDescent="0.3">
      <c r="A76" s="2" t="s">
        <v>79</v>
      </c>
      <c r="B76" s="1" t="str">
        <f>_xlfn.XLOOKUP(Table13[[#This Row],[EmpID]],[1]Sheet1!$A$1:$A$201,[1]Sheet1!$B$1:$B$201,"Data Not Found",0)</f>
        <v>Rajeev Gupta</v>
      </c>
      <c r="C76" s="1"/>
      <c r="D76" s="1"/>
      <c r="E76" s="8"/>
      <c r="F76" s="1" t="str">
        <f>_xlfn.XLOOKUP(Table13[[#This Row],[EmpID]],'[1]Sheet5 (2)'!$D$1:$D$201,'[1]Sheet5 (2)'!$A$1:$A$201,"Data Not Found",0)</f>
        <v>14 College Road</v>
      </c>
    </row>
    <row r="77" spans="1:6" x14ac:dyDescent="0.3">
      <c r="A77" s="2" t="s">
        <v>80</v>
      </c>
      <c r="B77" s="1" t="str">
        <f>_xlfn.XLOOKUP(Table13[[#This Row],[EmpID]],[1]Sheet1!$A$1:$A$201,[1]Sheet1!$B$1:$B$201,"Data Not Found",0)</f>
        <v>Anita Menon</v>
      </c>
      <c r="C77" s="1"/>
      <c r="D77" s="1"/>
      <c r="E77" s="8"/>
      <c r="F77" s="1" t="str">
        <f>_xlfn.XLOOKUP(Table13[[#This Row],[EmpID]],'[1]Sheet5 (2)'!$D$1:$D$201,'[1]Sheet5 (2)'!$A$1:$A$201,"Data Not Found",0)</f>
        <v>9 Sardarpura</v>
      </c>
    </row>
    <row r="78" spans="1:6" x14ac:dyDescent="0.3">
      <c r="A78" s="2" t="s">
        <v>81</v>
      </c>
      <c r="B78" s="1" t="str">
        <f>_xlfn.XLOOKUP(Table13[[#This Row],[EmpID]],[1]Sheet1!$A$1:$A$201,[1]Sheet1!$B$1:$B$201,"Data Not Found",0)</f>
        <v>Vinod Bhat</v>
      </c>
      <c r="C78" s="1"/>
      <c r="D78" s="1"/>
      <c r="E78" s="8"/>
      <c r="F78" s="1" t="str">
        <f>_xlfn.XLOOKUP(Table13[[#This Row],[EmpID]],'[1]Sheet5 (2)'!$D$1:$D$201,'[1]Sheet5 (2)'!$A$1:$A$201,"Data Not Found",0)</f>
        <v>5 Dewali</v>
      </c>
    </row>
    <row r="79" spans="1:6" x14ac:dyDescent="0.3">
      <c r="A79" s="2" t="s">
        <v>82</v>
      </c>
      <c r="B79" s="1" t="str">
        <f>_xlfn.XLOOKUP(Table13[[#This Row],[EmpID]],[1]Sheet1!$A$1:$A$201,[1]Sheet1!$B$1:$B$201,"Data Not Found",0)</f>
        <v>Anushree Ghosh</v>
      </c>
      <c r="C79" s="1"/>
      <c r="D79" s="1"/>
      <c r="E79" s="8"/>
      <c r="F79" s="1" t="str">
        <f>_xlfn.XLOOKUP(Table13[[#This Row],[EmpID]],'[1]Sheet5 (2)'!$D$1:$D$201,'[1]Sheet5 (2)'!$A$1:$A$201,"Data Not Found",0)</f>
        <v>18 Sanjay Place</v>
      </c>
    </row>
    <row r="80" spans="1:6" x14ac:dyDescent="0.3">
      <c r="A80" s="2" t="s">
        <v>83</v>
      </c>
      <c r="B80" s="1" t="str">
        <f>_xlfn.XLOOKUP(Table13[[#This Row],[EmpID]],[1]Sheet1!$A$1:$A$201,[1]Sheet1!$B$1:$B$201,"Data Not Found",0)</f>
        <v>Manu Kapoor</v>
      </c>
      <c r="C80" s="1"/>
      <c r="D80" s="1"/>
      <c r="E80" s="8"/>
      <c r="F80" s="1" t="str">
        <f>_xlfn.XLOOKUP(Table13[[#This Row],[EmpID]],'[1]Sheet5 (2)'!$D$1:$D$201,'[1]Sheet5 (2)'!$A$1:$A$201,"Data Not Found",0)</f>
        <v>2 Lanka Road</v>
      </c>
    </row>
    <row r="81" spans="1:6" x14ac:dyDescent="0.3">
      <c r="A81" s="2" t="s">
        <v>84</v>
      </c>
      <c r="B81" s="1" t="str">
        <f>_xlfn.XLOOKUP(Table13[[#This Row],[EmpID]],[1]Sheet1!$A$1:$A$201,[1]Sheet1!$B$1:$B$201,"Data Not Found",0)</f>
        <v>Reema Nair</v>
      </c>
      <c r="C81" s="1"/>
      <c r="D81" s="1"/>
      <c r="E81" s="8"/>
      <c r="F81" s="1" t="str">
        <f>_xlfn.XLOOKUP(Table13[[#This Row],[EmpID]],'[1]Sheet5 (2)'!$D$1:$D$201,'[1]Sheet5 (2)'!$A$1:$A$201,"Data Not Found",0)</f>
        <v>7 Shastri Nagar</v>
      </c>
    </row>
    <row r="82" spans="1:6" x14ac:dyDescent="0.3">
      <c r="A82" s="2" t="s">
        <v>85</v>
      </c>
      <c r="B82" s="1" t="str">
        <f>_xlfn.XLOOKUP(Table13[[#This Row],[EmpID]],[1]Sheet1!$A$1:$A$201,[1]Sheet1!$B$1:$B$201,"Data Not Found",0)</f>
        <v>Arjun Verma</v>
      </c>
      <c r="C82" s="1"/>
      <c r="D82" s="1"/>
      <c r="E82" s="8"/>
      <c r="F82" s="1" t="str">
        <f>_xlfn.XLOOKUP(Table13[[#This Row],[EmpID]],'[1]Sheet5 (2)'!$D$1:$D$201,'[1]Sheet5 (2)'!$A$1:$A$201,"Data Not Found",0)</f>
        <v>20 Ferozepur Road</v>
      </c>
    </row>
    <row r="83" spans="1:6" x14ac:dyDescent="0.3">
      <c r="A83" s="2" t="s">
        <v>86</v>
      </c>
      <c r="B83" s="1" t="str">
        <f>_xlfn.XLOOKUP(Table13[[#This Row],[EmpID]],[1]Sheet1!$A$1:$A$201,[1]Sheet1!$B$1:$B$201,"Data Not Found",0)</f>
        <v>Divya Singh</v>
      </c>
      <c r="C83" s="1"/>
      <c r="D83" s="1"/>
      <c r="E83" s="8"/>
      <c r="F83" s="1" t="str">
        <f>_xlfn.XLOOKUP(Table13[[#This Row],[EmpID]],'[1]Sheet5 (2)'!$D$1:$D$201,'[1]Sheet5 (2)'!$A$1:$A$201,"Data Not Found",0)</f>
        <v>12 Lawrence Road</v>
      </c>
    </row>
    <row r="84" spans="1:6" x14ac:dyDescent="0.3">
      <c r="A84" s="2" t="s">
        <v>87</v>
      </c>
      <c r="B84" s="1" t="str">
        <f>_xlfn.XLOOKUP(Table13[[#This Row],[EmpID]],[1]Sheet1!$A$1:$A$201,[1]Sheet1!$B$1:$B$201,"Data Not Found",0)</f>
        <v>Rahul Desai</v>
      </c>
      <c r="C84" s="1"/>
      <c r="D84" s="1"/>
      <c r="E84" s="8"/>
      <c r="F84" s="1" t="str">
        <f>_xlfn.XLOOKUP(Table13[[#This Row],[EmpID]],'[1]Sheet5 (2)'!$D$1:$D$201,'[1]Sheet5 (2)'!$A$1:$A$201,"Data Not Found",0)</f>
        <v>9 Model Town</v>
      </c>
    </row>
    <row r="85" spans="1:6" x14ac:dyDescent="0.3">
      <c r="A85" s="2" t="s">
        <v>88</v>
      </c>
      <c r="B85" s="1" t="str">
        <f>_xlfn.XLOOKUP(Table13[[#This Row],[EmpID]],[1]Sheet1!$A$1:$A$201,[1]Sheet1!$B$1:$B$201,"Data Not Found",0)</f>
        <v>Shalini Rao</v>
      </c>
      <c r="C85" s="1"/>
      <c r="D85" s="1"/>
      <c r="E85" s="8"/>
      <c r="F85" s="1" t="str">
        <f>_xlfn.XLOOKUP(Table13[[#This Row],[EmpID]],'[1]Sheet5 (2)'!$D$1:$D$201,'[1]Sheet5 (2)'!$A$1:$A$201,"Data Not Found",0)</f>
        <v>25 Rajpur Road</v>
      </c>
    </row>
    <row r="86" spans="1:6" x14ac:dyDescent="0.3">
      <c r="A86" s="2" t="s">
        <v>89</v>
      </c>
      <c r="B86" s="1" t="str">
        <f>_xlfn.XLOOKUP(Table13[[#This Row],[EmpID]],[1]Sheet1!$A$1:$A$201,[1]Sheet1!$B$1:$B$201,"Data Not Found",0)</f>
        <v>Anupama Chatterjee</v>
      </c>
      <c r="C86" s="1"/>
      <c r="D86" s="1"/>
      <c r="E86" s="8"/>
      <c r="F86" s="1" t="str">
        <f>_xlfn.XLOOKUP(Table13[[#This Row],[EmpID]],'[1]Sheet5 (2)'!$D$1:$D$201,'[1]Sheet5 (2)'!$A$1:$A$201,"Data Not Found",0)</f>
        <v>6 The Mall</v>
      </c>
    </row>
    <row r="87" spans="1:6" x14ac:dyDescent="0.3">
      <c r="A87" s="2" t="s">
        <v>90</v>
      </c>
      <c r="B87" s="1" t="str">
        <f>_xlfn.XLOOKUP(Table13[[#This Row],[EmpID]],[1]Sheet1!$A$1:$A$201,[1]Sheet1!$B$1:$B$201,"Data Not Found",0)</f>
        <v>Sameer Malhotra</v>
      </c>
      <c r="C87" s="1"/>
      <c r="D87" s="1"/>
      <c r="E87" s="8"/>
      <c r="F87" s="1" t="str">
        <f>_xlfn.XLOOKUP(Table13[[#This Row],[EmpID]],'[1]Sheet5 (2)'!$D$1:$D$201,'[1]Sheet5 (2)'!$A$1:$A$201,"Data Not Found",0)</f>
        <v>11 Lal Chowk</v>
      </c>
    </row>
    <row r="88" spans="1:6" x14ac:dyDescent="0.3">
      <c r="A88" s="2" t="s">
        <v>91</v>
      </c>
      <c r="B88" s="1" t="str">
        <f>_xlfn.XLOOKUP(Table13[[#This Row],[EmpID]],[1]Sheet1!$A$1:$A$201,[1]Sheet1!$B$1:$B$201,"Data Not Found",0)</f>
        <v>Neeraj Kumar</v>
      </c>
      <c r="C88" s="1"/>
      <c r="D88" s="1"/>
      <c r="E88" s="8"/>
      <c r="F88" s="1" t="str">
        <f>_xlfn.XLOOKUP(Table13[[#This Row],[EmpID]],'[1]Sheet5 (2)'!$D$1:$D$201,'[1]Sheet5 (2)'!$A$1:$A$201,"Data Not Found",0)</f>
        <v>8 GS Road</v>
      </c>
    </row>
    <row r="89" spans="1:6" x14ac:dyDescent="0.3">
      <c r="A89" s="2" t="s">
        <v>92</v>
      </c>
      <c r="B89" s="1" t="str">
        <f>_xlfn.XLOOKUP(Table13[[#This Row],[EmpID]],[1]Sheet1!$A$1:$A$201,[1]Sheet1!$B$1:$B$201,"Data Not Found",0)</f>
        <v>Prerna Bhatt</v>
      </c>
      <c r="C89" s="1"/>
      <c r="D89" s="1"/>
      <c r="E89" s="8"/>
      <c r="F89" s="1" t="str">
        <f>_xlfn.XLOOKUP(Table13[[#This Row],[EmpID]],'[1]Sheet5 (2)'!$D$1:$D$201,'[1]Sheet5 (2)'!$A$1:$A$201,"Data Not Found",0)</f>
        <v>3 Thangal Bazar</v>
      </c>
    </row>
    <row r="90" spans="1:6" x14ac:dyDescent="0.3">
      <c r="A90" s="2" t="s">
        <v>93</v>
      </c>
      <c r="B90" s="1" t="str">
        <f>_xlfn.XLOOKUP(Table13[[#This Row],[EmpID]],[1]Sheet1!$A$1:$A$201,[1]Sheet1!$B$1:$B$201,"Data Not Found",0)</f>
        <v>Arvind Saini</v>
      </c>
      <c r="C90" s="1"/>
      <c r="D90" s="1"/>
      <c r="E90" s="8"/>
      <c r="F90" s="1" t="str">
        <f>_xlfn.XLOOKUP(Table13[[#This Row],[EmpID]],'[1]Sheet5 (2)'!$D$1:$D$201,'[1]Sheet5 (2)'!$A$1:$A$201,"Data Not Found",0)</f>
        <v>14 VIP Road</v>
      </c>
    </row>
    <row r="91" spans="1:6" x14ac:dyDescent="0.3">
      <c r="A91" s="2" t="s">
        <v>94</v>
      </c>
      <c r="B91" s="1" t="str">
        <f>_xlfn.XLOOKUP(Table13[[#This Row],[EmpID]],[1]Sheet1!$A$1:$A$201,[1]Sheet1!$B$1:$B$201,"Data Not Found",0)</f>
        <v>Geeta Pillai</v>
      </c>
      <c r="C91" s="1"/>
      <c r="D91" s="1"/>
      <c r="E91" s="8"/>
      <c r="F91" s="1" t="str">
        <f>_xlfn.XLOOKUP(Table13[[#This Row],[EmpID]],'[1]Sheet5 (2)'!$D$1:$D$201,'[1]Sheet5 (2)'!$A$1:$A$201,"Data Not Found",0)</f>
        <v>5 Kohima Road</v>
      </c>
    </row>
    <row r="92" spans="1:6" x14ac:dyDescent="0.3">
      <c r="A92" s="2" t="s">
        <v>95</v>
      </c>
      <c r="B92" s="1" t="str">
        <f>_xlfn.XLOOKUP(Table13[[#This Row],[EmpID]],[1]Sheet1!$A$1:$A$201,[1]Sheet1!$B$1:$B$201,"Data Not Found",0)</f>
        <v>Akshay Mehta</v>
      </c>
      <c r="C92" s="1"/>
      <c r="D92" s="1"/>
      <c r="E92" s="8"/>
      <c r="F92" s="1" t="str">
        <f>_xlfn.XLOOKUP(Table13[[#This Row],[EmpID]],'[1]Sheet5 (2)'!$D$1:$D$201,'[1]Sheet5 (2)'!$A$1:$A$201,"Data Not Found",0)</f>
        <v>19 Zarkawt</v>
      </c>
    </row>
    <row r="93" spans="1:6" x14ac:dyDescent="0.3">
      <c r="A93" s="2" t="s">
        <v>96</v>
      </c>
      <c r="B93" s="1" t="str">
        <f>_xlfn.XLOOKUP(Table13[[#This Row],[EmpID]],[1]Sheet1!$A$1:$A$201,[1]Sheet1!$B$1:$B$201,"Data Not Found",0)</f>
        <v>Anita Iqbal</v>
      </c>
      <c r="C93" s="1"/>
      <c r="D93" s="1"/>
      <c r="E93" s="8"/>
      <c r="F93" s="1" t="str">
        <f>_xlfn.XLOOKUP(Table13[[#This Row],[EmpID]],'[1]Sheet5 (2)'!$D$1:$D$201,'[1]Sheet5 (2)'!$A$1:$A$201,"Data Not Found",0)</f>
        <v>2 Aberdeen Bazaar</v>
      </c>
    </row>
    <row r="94" spans="1:6" x14ac:dyDescent="0.3">
      <c r="A94" s="2" t="s">
        <v>97</v>
      </c>
      <c r="B94" s="1" t="str">
        <f>_xlfn.XLOOKUP(Table13[[#This Row],[EmpID]],[1]Sheet1!$A$1:$A$201,[1]Sheet1!$B$1:$B$201,"Data Not Found",0)</f>
        <v>Devika Nair</v>
      </c>
      <c r="C94" s="1"/>
      <c r="D94" s="1"/>
      <c r="E94" s="8"/>
      <c r="F94" s="1" t="str">
        <f>_xlfn.XLOOKUP(Table13[[#This Row],[EmpID]],'[1]Sheet5 (2)'!$D$1:$D$201,'[1]Sheet5 (2)'!$A$1:$A$201,"Data Not Found",0)</f>
        <v>28 MG Road</v>
      </c>
    </row>
    <row r="95" spans="1:6" x14ac:dyDescent="0.3">
      <c r="A95" s="2" t="s">
        <v>98</v>
      </c>
      <c r="B95" s="1" t="str">
        <f>_xlfn.XLOOKUP(Table13[[#This Row],[EmpID]],[1]Sheet1!$A$1:$A$201,[1]Sheet1!$B$1:$B$201,"Data Not Found",0)</f>
        <v>Rakesh Sharma</v>
      </c>
      <c r="C95" s="1"/>
      <c r="D95" s="1"/>
      <c r="E95" s="8"/>
      <c r="F95" s="1" t="str">
        <f>_xlfn.XLOOKUP(Table13[[#This Row],[EmpID]],'[1]Sheet5 (2)'!$D$1:$D$201,'[1]Sheet5 (2)'!$A$1:$A$201,"Data Not Found",0)</f>
        <v>33 Park Street</v>
      </c>
    </row>
    <row r="96" spans="1:6" x14ac:dyDescent="0.3">
      <c r="A96" s="2" t="s">
        <v>99</v>
      </c>
      <c r="B96" s="1" t="str">
        <f>_xlfn.XLOOKUP(Table13[[#This Row],[EmpID]],[1]Sheet1!$A$1:$A$201,[1]Sheet1!$B$1:$B$201,"Data Not Found",0)</f>
        <v>Shreya Kapoor</v>
      </c>
      <c r="C96" s="1"/>
      <c r="D96" s="1"/>
      <c r="E96" s="8"/>
      <c r="F96" s="1" t="str">
        <f>_xlfn.XLOOKUP(Table13[[#This Row],[EmpID]],'[1]Sheet5 (2)'!$D$1:$D$201,'[1]Sheet5 (2)'!$A$1:$A$201,"Data Not Found",0)</f>
        <v>7 Brigade Road</v>
      </c>
    </row>
    <row r="97" spans="1:6" x14ac:dyDescent="0.3">
      <c r="A97" s="2" t="s">
        <v>100</v>
      </c>
      <c r="B97" s="1" t="str">
        <f>_xlfn.XLOOKUP(Table13[[#This Row],[EmpID]],[1]Sheet1!$A$1:$A$201,[1]Sheet1!$B$1:$B$201,"Data Not Found",0)</f>
        <v>Manish Verma</v>
      </c>
      <c r="C97" s="1"/>
      <c r="D97" s="1"/>
      <c r="E97" s="8"/>
      <c r="F97" s="1" t="str">
        <f>_xlfn.XLOOKUP(Table13[[#This Row],[EmpID]],'[1]Sheet5 (2)'!$D$1:$D$201,'[1]Sheet5 (2)'!$A$1:$A$201,"Data Not Found",0)</f>
        <v>44 Anna Salai</v>
      </c>
    </row>
    <row r="98" spans="1:6" x14ac:dyDescent="0.3">
      <c r="A98" s="2" t="s">
        <v>101</v>
      </c>
      <c r="B98" s="1" t="str">
        <f>_xlfn.XLOOKUP(Table13[[#This Row],[EmpID]],[1]Sheet1!$A$1:$A$201,[1]Sheet1!$B$1:$B$201,"Data Not Found",0)</f>
        <v>Sunil Rao</v>
      </c>
      <c r="C98" s="1"/>
      <c r="D98" s="1"/>
      <c r="E98" s="8"/>
      <c r="F98" s="1" t="str">
        <f>_xlfn.XLOOKUP(Table13[[#This Row],[EmpID]],'[1]Sheet5 (2)'!$D$1:$D$201,'[1]Sheet5 (2)'!$A$1:$A$201,"Data Not Found",0)</f>
        <v>66 Marine Drive</v>
      </c>
    </row>
    <row r="99" spans="1:6" x14ac:dyDescent="0.3">
      <c r="A99" s="2" t="s">
        <v>102</v>
      </c>
      <c r="B99" s="1" t="str">
        <f>_xlfn.XLOOKUP(Table13[[#This Row],[EmpID]],[1]Sheet1!$A$1:$A$201,[1]Sheet1!$B$1:$B$201,"Data Not Found",0)</f>
        <v>Ankita Banerjee</v>
      </c>
      <c r="C99" s="1"/>
      <c r="D99" s="1"/>
      <c r="E99" s="8"/>
      <c r="F99" s="1" t="str">
        <f>_xlfn.XLOOKUP(Table13[[#This Row],[EmpID]],'[1]Sheet5 (2)'!$D$1:$D$201,'[1]Sheet5 (2)'!$A$1:$A$201,"Data Not Found",0)</f>
        <v>12 Koregaon Park</v>
      </c>
    </row>
    <row r="100" spans="1:6" x14ac:dyDescent="0.3">
      <c r="A100" s="2" t="s">
        <v>103</v>
      </c>
      <c r="B100" s="1" t="str">
        <f>_xlfn.XLOOKUP(Table13[[#This Row],[EmpID]],[1]Sheet1!$A$1:$A$201,[1]Sheet1!$B$1:$B$201,"Data Not Found",0)</f>
        <v>Prakash Singh</v>
      </c>
      <c r="C100" s="1"/>
      <c r="D100" s="1"/>
      <c r="E100" s="8"/>
      <c r="F100" s="1" t="str">
        <f>_xlfn.XLOOKUP(Table13[[#This Row],[EmpID]],'[1]Sheet5 (2)'!$D$1:$D$201,'[1]Sheet5 (2)'!$A$1:$A$201,"Data Not Found",0)</f>
        <v>9 Banjara Hills</v>
      </c>
    </row>
    <row r="101" spans="1:6" x14ac:dyDescent="0.3">
      <c r="A101" s="2" t="s">
        <v>104</v>
      </c>
      <c r="B101" s="1" t="str">
        <f>_xlfn.XLOOKUP(Table13[[#This Row],[EmpID]],[1]Sheet1!$A$1:$A$201,[1]Sheet1!$B$1:$B$201,"Data Not Found",0)</f>
        <v>Radha Menon</v>
      </c>
      <c r="C101" s="1"/>
      <c r="D101" s="1"/>
      <c r="E101" s="8"/>
      <c r="F101" s="1" t="str">
        <f>_xlfn.XLOOKUP(Table13[[#This Row],[EmpID]],'[1]Sheet5 (2)'!$D$1:$D$201,'[1]Sheet5 (2)'!$A$1:$A$201,"Data Not Found",0)</f>
        <v>5 SG Highway</v>
      </c>
    </row>
    <row r="102" spans="1:6" x14ac:dyDescent="0.3">
      <c r="A102" s="2" t="s">
        <v>105</v>
      </c>
      <c r="B102" s="1" t="str">
        <f>_xlfn.XLOOKUP(Table13[[#This Row],[EmpID]],[1]Sheet1!$A$1:$A$201,[1]Sheet1!$B$1:$B$201,"Data Not Found",0)</f>
        <v>Vikram Patel</v>
      </c>
      <c r="C102" s="1"/>
      <c r="D102" s="1"/>
      <c r="E102" s="8"/>
      <c r="F102" s="1" t="str">
        <f>_xlfn.XLOOKUP(Table13[[#This Row],[EmpID]],'[1]Sheet5 (2)'!$D$1:$D$201,'[1]Sheet5 (2)'!$A$1:$A$201,"Data Not Found",0)</f>
        <v>21 Hazratganj</v>
      </c>
    </row>
    <row r="103" spans="1:6" x14ac:dyDescent="0.3">
      <c r="A103" s="2" t="s">
        <v>106</v>
      </c>
      <c r="B103" s="1" t="str">
        <f>_xlfn.XLOOKUP(Table13[[#This Row],[EmpID]],[1]Sheet1!$A$1:$A$201,[1]Sheet1!$B$1:$B$201,"Data Not Found",0)</f>
        <v>Neha Gupta</v>
      </c>
      <c r="C103" s="1"/>
      <c r="D103" s="1"/>
      <c r="E103" s="8"/>
      <c r="F103" s="1" t="str">
        <f>_xlfn.XLOOKUP(Table13[[#This Row],[EmpID]],'[1]Sheet5 (2)'!$D$1:$D$201,'[1]Sheet5 (2)'!$A$1:$A$201,"Data Not Found",0)</f>
        <v>14 MI Road</v>
      </c>
    </row>
    <row r="104" spans="1:6" x14ac:dyDescent="0.3">
      <c r="A104" s="2" t="s">
        <v>107</v>
      </c>
      <c r="B104" s="1" t="str">
        <f>_xlfn.XLOOKUP(Table13[[#This Row],[EmpID]],[1]Sheet1!$A$1:$A$201,[1]Sheet1!$B$1:$B$201,"Data Not Found",0)</f>
        <v>Arjun Sharma</v>
      </c>
      <c r="C104" s="1"/>
      <c r="D104" s="1"/>
      <c r="E104" s="8"/>
      <c r="F104" s="1" t="str">
        <f>_xlfn.XLOOKUP(Table13[[#This Row],[EmpID]],'[1]Sheet5 (2)'!$D$1:$D$201,'[1]Sheet5 (2)'!$A$1:$A$201,"Data Not Found",0)</f>
        <v>8 Sector 17</v>
      </c>
    </row>
    <row r="105" spans="1:6" x14ac:dyDescent="0.3">
      <c r="A105" s="2" t="s">
        <v>108</v>
      </c>
      <c r="B105" s="1" t="str">
        <f>_xlfn.XLOOKUP(Table13[[#This Row],[EmpID]],[1]Sheet1!$A$1:$A$201,[1]Sheet1!$B$1:$B$201,"Data Not Found",0)</f>
        <v>Divya Mehra</v>
      </c>
      <c r="C105" s="1"/>
      <c r="D105" s="1"/>
      <c r="E105" s="8"/>
      <c r="F105" s="1" t="str">
        <f>_xlfn.XLOOKUP(Table13[[#This Row],[EmpID]],'[1]Sheet5 (2)'!$D$1:$D$201,'[1]Sheet5 (2)'!$A$1:$A$201,"Data Not Found",0)</f>
        <v>20 Udyog Vihar</v>
      </c>
    </row>
    <row r="106" spans="1:6" x14ac:dyDescent="0.3">
      <c r="A106" s="2" t="s">
        <v>109</v>
      </c>
      <c r="B106" s="1" t="str">
        <f>_xlfn.XLOOKUP(Table13[[#This Row],[EmpID]],[1]Sheet1!$A$1:$A$201,[1]Sheet1!$B$1:$B$201,"Data Not Found",0)</f>
        <v>Rohit Nair</v>
      </c>
      <c r="C106" s="1"/>
      <c r="D106" s="1"/>
      <c r="E106" s="8"/>
      <c r="F106" s="1" t="str">
        <f>_xlfn.XLOOKUP(Table13[[#This Row],[EmpID]],'[1]Sheet5 (2)'!$D$1:$D$201,'[1]Sheet5 (2)'!$A$1:$A$201,"Data Not Found",0)</f>
        <v>11 Sector 18</v>
      </c>
    </row>
    <row r="107" spans="1:6" x14ac:dyDescent="0.3">
      <c r="A107" s="2" t="s">
        <v>110</v>
      </c>
      <c r="B107" s="1" t="str">
        <f>_xlfn.XLOOKUP(Table13[[#This Row],[EmpID]],[1]Sheet1!$A$1:$A$201,[1]Sheet1!$B$1:$B$201,"Data Not Found",0)</f>
        <v>Anjali Joshi</v>
      </c>
      <c r="C107" s="1"/>
      <c r="D107" s="1"/>
      <c r="E107" s="8"/>
      <c r="F107" s="1" t="str">
        <f>_xlfn.XLOOKUP(Table13[[#This Row],[EmpID]],'[1]Sheet5 (2)'!$D$1:$D$201,'[1]Sheet5 (2)'!$A$1:$A$201,"Data Not Found",0)</f>
        <v>6 Raj Nagar</v>
      </c>
    </row>
    <row r="108" spans="1:6" x14ac:dyDescent="0.3">
      <c r="A108" s="2" t="s">
        <v>111</v>
      </c>
      <c r="B108" s="1" t="str">
        <f>_xlfn.XLOOKUP(Table13[[#This Row],[EmpID]],[1]Sheet1!$A$1:$A$201,[1]Sheet1!$B$1:$B$201,"Data Not Found",0)</f>
        <v>Praveen Kumar</v>
      </c>
      <c r="C108" s="1"/>
      <c r="D108" s="1"/>
      <c r="E108" s="8"/>
      <c r="F108" s="1" t="str">
        <f>_xlfn.XLOOKUP(Table13[[#This Row],[EmpID]],'[1]Sheet5 (2)'!$D$1:$D$201,'[1]Sheet5 (2)'!$A$1:$A$201,"Data Not Found",0)</f>
        <v>3 Indirapuram</v>
      </c>
    </row>
    <row r="109" spans="1:6" x14ac:dyDescent="0.3">
      <c r="A109" s="2" t="s">
        <v>112</v>
      </c>
      <c r="B109" s="1" t="str">
        <f>_xlfn.XLOOKUP(Table13[[#This Row],[EmpID]],[1]Sheet1!$A$1:$A$201,[1]Sheet1!$B$1:$B$201,"Data Not Found",0)</f>
        <v>Shweta Rao</v>
      </c>
      <c r="C109" s="1"/>
      <c r="D109" s="1"/>
      <c r="E109" s="8"/>
      <c r="F109" s="1" t="str">
        <f>_xlfn.XLOOKUP(Table13[[#This Row],[EmpID]],'[1]Sheet5 (2)'!$D$1:$D$201,'[1]Sheet5 (2)'!$A$1:$A$201,"Data Not Found",0)</f>
        <v>17 Swaroop Nagar</v>
      </c>
    </row>
    <row r="110" spans="1:6" x14ac:dyDescent="0.3">
      <c r="A110" s="2" t="s">
        <v>113</v>
      </c>
      <c r="B110" s="1" t="str">
        <f>_xlfn.XLOOKUP(Table13[[#This Row],[EmpID]],[1]Sheet1!$A$1:$A$201,[1]Sheet1!$B$1:$B$201,"Data Not Found",0)</f>
        <v>Manisha Sood</v>
      </c>
      <c r="C110" s="1"/>
      <c r="D110" s="1"/>
      <c r="E110" s="8"/>
      <c r="F110" s="1" t="str">
        <f>_xlfn.XLOOKUP(Table13[[#This Row],[EmpID]],'[1]Sheet5 (2)'!$D$1:$D$201,'[1]Sheet5 (2)'!$A$1:$A$201,"Data Not Found",0)</f>
        <v>9 Athwagate</v>
      </c>
    </row>
    <row r="111" spans="1:6" x14ac:dyDescent="0.3">
      <c r="A111" s="2" t="s">
        <v>114</v>
      </c>
      <c r="B111" s="1" t="str">
        <f>_xlfn.XLOOKUP(Table13[[#This Row],[EmpID]],[1]Sheet1!$A$1:$A$201,[1]Sheet1!$B$1:$B$201,"Data Not Found",0)</f>
        <v>Arun D'Souza</v>
      </c>
      <c r="C111" s="1"/>
      <c r="D111" s="1"/>
      <c r="E111" s="8"/>
      <c r="F111" s="1" t="str">
        <f>_xlfn.XLOOKUP(Table13[[#This Row],[EmpID]],'[1]Sheet5 (2)'!$D$1:$D$201,'[1]Sheet5 (2)'!$A$1:$A$201,"Data Not Found",0)</f>
        <v>2 Sama Road</v>
      </c>
    </row>
    <row r="112" spans="1:6" x14ac:dyDescent="0.3">
      <c r="A112" s="2" t="s">
        <v>115</v>
      </c>
      <c r="B112" s="1" t="str">
        <f>_xlfn.XLOOKUP(Table13[[#This Row],[EmpID]],[1]Sheet1!$A$1:$A$201,[1]Sheet1!$B$1:$B$201,"Data Not Found",0)</f>
        <v>Neeraj Sharma</v>
      </c>
      <c r="C112" s="1"/>
      <c r="D112" s="1"/>
      <c r="E112" s="8"/>
      <c r="F112" s="1" t="str">
        <f>_xlfn.XLOOKUP(Table13[[#This Row],[EmpID]],'[1]Sheet5 (2)'!$D$1:$D$201,'[1]Sheet5 (2)'!$A$1:$A$201,"Data Not Found",0)</f>
        <v>12 Arera Hills</v>
      </c>
    </row>
    <row r="113" spans="1:6" x14ac:dyDescent="0.3">
      <c r="A113" s="2" t="s">
        <v>116</v>
      </c>
      <c r="B113" s="1" t="str">
        <f>_xlfn.XLOOKUP(Table13[[#This Row],[EmpID]],[1]Sheet1!$A$1:$A$201,[1]Sheet1!$B$1:$B$201,"Data Not Found",0)</f>
        <v>Megha Verma</v>
      </c>
      <c r="C113" s="1"/>
      <c r="D113" s="1"/>
      <c r="E113" s="8"/>
      <c r="F113" s="1" t="str">
        <f>_xlfn.XLOOKUP(Table13[[#This Row],[EmpID]],'[1]Sheet5 (2)'!$D$1:$D$201,'[1]Sheet5 (2)'!$A$1:$A$201,"Data Not Found",0)</f>
        <v>5 MR10 Road</v>
      </c>
    </row>
    <row r="114" spans="1:6" x14ac:dyDescent="0.3">
      <c r="A114" s="2" t="s">
        <v>117</v>
      </c>
      <c r="B114" s="1" t="str">
        <f>_xlfn.XLOOKUP(Table13[[#This Row],[EmpID]],[1]Sheet1!$A$1:$A$201,[1]Sheet1!$B$1:$B$201,"Data Not Found",0)</f>
        <v>Aditya Kapoor</v>
      </c>
      <c r="C114" s="1"/>
      <c r="D114" s="1"/>
      <c r="E114" s="8"/>
      <c r="F114" s="1" t="str">
        <f>_xlfn.XLOOKUP(Table13[[#This Row],[EmpID]],'[1]Sheet5 (2)'!$D$1:$D$201,'[1]Sheet5 (2)'!$A$1:$A$201,"Data Not Found",0)</f>
        <v>18 Bailey Road</v>
      </c>
    </row>
    <row r="115" spans="1:6" x14ac:dyDescent="0.3">
      <c r="A115" s="2" t="s">
        <v>118</v>
      </c>
      <c r="B115" s="1" t="str">
        <f>_xlfn.XLOOKUP(Table13[[#This Row],[EmpID]],[1]Sheet1!$A$1:$A$201,[1]Sheet1!$B$1:$B$201,"Data Not Found",0)</f>
        <v>Sunita Chawla</v>
      </c>
      <c r="C115" s="1"/>
      <c r="D115" s="1"/>
      <c r="E115" s="8"/>
      <c r="F115" s="1" t="str">
        <f>_xlfn.XLOOKUP(Table13[[#This Row],[EmpID]],'[1]Sheet5 (2)'!$D$1:$D$201,'[1]Sheet5 (2)'!$A$1:$A$201,"Data Not Found",0)</f>
        <v>7 Doranda Road</v>
      </c>
    </row>
    <row r="116" spans="1:6" x14ac:dyDescent="0.3">
      <c r="A116" s="2" t="s">
        <v>119</v>
      </c>
      <c r="B116" s="1" t="str">
        <f>_xlfn.XLOOKUP(Table13[[#This Row],[EmpID]],[1]Sheet1!$A$1:$A$201,[1]Sheet1!$B$1:$B$201,"Data Not Found",0)</f>
        <v>Rahul Bhatt</v>
      </c>
      <c r="C116" s="1"/>
      <c r="D116" s="1"/>
      <c r="E116" s="8"/>
      <c r="F116" s="1" t="str">
        <f>_xlfn.XLOOKUP(Table13[[#This Row],[EmpID]],'[1]Sheet5 (2)'!$D$1:$D$201,'[1]Sheet5 (2)'!$A$1:$A$201,"Data Not Found",0)</f>
        <v>4 Rasulgarh</v>
      </c>
    </row>
    <row r="117" spans="1:6" x14ac:dyDescent="0.3">
      <c r="A117" s="2" t="s">
        <v>120</v>
      </c>
      <c r="B117" s="1" t="str">
        <f>_xlfn.XLOOKUP(Table13[[#This Row],[EmpID]],[1]Sheet1!$A$1:$A$201,[1]Sheet1!$B$1:$B$201,"Data Not Found",0)</f>
        <v>Anita Reddy</v>
      </c>
      <c r="C117" s="1"/>
      <c r="D117" s="1"/>
      <c r="E117" s="8"/>
      <c r="F117" s="1" t="str">
        <f>_xlfn.XLOOKUP(Table13[[#This Row],[EmpID]],'[1]Sheet5 (2)'!$D$1:$D$201,'[1]Sheet5 (2)'!$A$1:$A$201,"Data Not Found",0)</f>
        <v>10 Gandhipuram</v>
      </c>
    </row>
    <row r="118" spans="1:6" x14ac:dyDescent="0.3">
      <c r="A118" s="2" t="s">
        <v>121</v>
      </c>
      <c r="B118" s="1" t="str">
        <f>_xlfn.XLOOKUP(Table13[[#This Row],[EmpID]],[1]Sheet1!$A$1:$A$201,[1]Sheet1!$B$1:$B$201,"Data Not Found",0)</f>
        <v>Prakash Iyer</v>
      </c>
      <c r="C118" s="1"/>
      <c r="D118" s="1"/>
      <c r="E118" s="8"/>
      <c r="F118" s="1" t="str">
        <f>_xlfn.XLOOKUP(Table13[[#This Row],[EmpID]],'[1]Sheet5 (2)'!$D$1:$D$201,'[1]Sheet5 (2)'!$A$1:$A$201,"Data Not Found",0)</f>
        <v>6 Fort Kochi</v>
      </c>
    </row>
    <row r="119" spans="1:6" x14ac:dyDescent="0.3">
      <c r="A119" s="2" t="s">
        <v>122</v>
      </c>
      <c r="B119" s="1" t="str">
        <f>_xlfn.XLOOKUP(Table13[[#This Row],[EmpID]],[1]Sheet1!$A$1:$A$201,[1]Sheet1!$B$1:$B$201,"Data Not Found",0)</f>
        <v>Swati Banerjee</v>
      </c>
      <c r="C119" s="1"/>
      <c r="D119" s="1"/>
      <c r="E119" s="8"/>
      <c r="F119" s="1" t="str">
        <f>_xlfn.XLOOKUP(Table13[[#This Row],[EmpID]],'[1]Sheet5 (2)'!$D$1:$D$201,'[1]Sheet5 (2)'!$A$1:$A$201,"Data Not Found",0)</f>
        <v>21 Pattom</v>
      </c>
    </row>
    <row r="120" spans="1:6" x14ac:dyDescent="0.3">
      <c r="A120" s="2" t="s">
        <v>123</v>
      </c>
      <c r="B120" s="1" t="str">
        <f>_xlfn.XLOOKUP(Table13[[#This Row],[EmpID]],[1]Sheet1!$A$1:$A$201,[1]Sheet1!$B$1:$B$201,"Data Not Found",0)</f>
        <v>Manoj Menon</v>
      </c>
      <c r="C120" s="1"/>
      <c r="D120" s="1"/>
      <c r="E120" s="8"/>
      <c r="F120" s="1" t="str">
        <f>_xlfn.XLOOKUP(Table13[[#This Row],[EmpID]],'[1]Sheet5 (2)'!$D$1:$D$201,'[1]Sheet5 (2)'!$A$1:$A$201,"Data Not Found",0)</f>
        <v>8 Nazarbad Road</v>
      </c>
    </row>
    <row r="121" spans="1:6" x14ac:dyDescent="0.3">
      <c r="A121" s="2" t="s">
        <v>124</v>
      </c>
      <c r="B121" s="1" t="str">
        <f>_xlfn.XLOOKUP(Table13[[#This Row],[EmpID]],[1]Sheet1!$A$1:$A$201,[1]Sheet1!$B$1:$B$201,"Data Not Found",0)</f>
        <v>Neha Saini</v>
      </c>
      <c r="C121" s="1"/>
      <c r="D121" s="1"/>
      <c r="E121" s="8"/>
      <c r="F121" s="1" t="str">
        <f>_xlfn.XLOOKUP(Table13[[#This Row],[EmpID]],'[1]Sheet5 (2)'!$D$1:$D$201,'[1]Sheet5 (2)'!$A$1:$A$201,"Data Not Found",0)</f>
        <v>14 Dharampeth</v>
      </c>
    </row>
    <row r="122" spans="1:6" x14ac:dyDescent="0.3">
      <c r="A122" s="2" t="s">
        <v>125</v>
      </c>
      <c r="B122" s="1" t="str">
        <f>_xlfn.XLOOKUP(Table13[[#This Row],[EmpID]],[1]Sheet1!$A$1:$A$201,[1]Sheet1!$B$1:$B$201,"Data Not Found",0)</f>
        <v>Arjun Gupta</v>
      </c>
      <c r="C122" s="1"/>
      <c r="D122" s="1"/>
      <c r="E122" s="8"/>
      <c r="F122" s="1" t="str">
        <f>_xlfn.XLOOKUP(Table13[[#This Row],[EmpID]],'[1]Sheet5 (2)'!$D$1:$D$201,'[1]Sheet5 (2)'!$A$1:$A$201,"Data Not Found",0)</f>
        <v>3 College Road</v>
      </c>
    </row>
    <row r="123" spans="1:6" x14ac:dyDescent="0.3">
      <c r="A123" s="2" t="s">
        <v>126</v>
      </c>
      <c r="B123" s="1" t="str">
        <f>_xlfn.XLOOKUP(Table13[[#This Row],[EmpID]],[1]Sheet1!$A$1:$A$201,[1]Sheet1!$B$1:$B$201,"Data Not Found",0)</f>
        <v>Shreya Sharma</v>
      </c>
      <c r="C123" s="1"/>
      <c r="D123" s="1"/>
      <c r="E123" s="8"/>
      <c r="F123" s="1" t="str">
        <f>_xlfn.XLOOKUP(Table13[[#This Row],[EmpID]],'[1]Sheet5 (2)'!$D$1:$D$201,'[1]Sheet5 (2)'!$A$1:$A$201,"Data Not Found",0)</f>
        <v>11 Sardarpura</v>
      </c>
    </row>
    <row r="124" spans="1:6" x14ac:dyDescent="0.3">
      <c r="A124" s="2" t="s">
        <v>127</v>
      </c>
      <c r="B124" s="1" t="str">
        <f>_xlfn.XLOOKUP(Table13[[#This Row],[EmpID]],[1]Sheet1!$A$1:$A$201,[1]Sheet1!$B$1:$B$201,"Data Not Found",0)</f>
        <v>Varun Joshi</v>
      </c>
      <c r="C124" s="1"/>
      <c r="D124" s="1"/>
      <c r="E124" s="8"/>
      <c r="F124" s="1" t="str">
        <f>_xlfn.XLOOKUP(Table13[[#This Row],[EmpID]],'[1]Sheet5 (2)'!$D$1:$D$201,'[1]Sheet5 (2)'!$A$1:$A$201,"Data Not Found",0)</f>
        <v>9 Dewali</v>
      </c>
    </row>
    <row r="125" spans="1:6" x14ac:dyDescent="0.3">
      <c r="A125" s="2" t="s">
        <v>128</v>
      </c>
      <c r="B125" s="1" t="str">
        <f>_xlfn.XLOOKUP(Table13[[#This Row],[EmpID]],[1]Sheet1!$A$1:$A$201,[1]Sheet1!$B$1:$B$201,"Data Not Found",0)</f>
        <v>Deepika Rao</v>
      </c>
      <c r="C125" s="1"/>
      <c r="D125" s="1"/>
      <c r="E125" s="8"/>
      <c r="F125" s="1" t="str">
        <f>_xlfn.XLOOKUP(Table13[[#This Row],[EmpID]],'[1]Sheet5 (2)'!$D$1:$D$201,'[1]Sheet5 (2)'!$A$1:$A$201,"Data Not Found",0)</f>
        <v>6 Sanjay Place</v>
      </c>
    </row>
    <row r="126" spans="1:6" x14ac:dyDescent="0.3">
      <c r="A126" s="2" t="s">
        <v>129</v>
      </c>
      <c r="B126" s="1" t="str">
        <f>_xlfn.XLOOKUP(Table13[[#This Row],[EmpID]],[1]Sheet1!$A$1:$A$201,[1]Sheet1!$B$1:$B$201,"Data Not Found",0)</f>
        <v>Sameer Khan</v>
      </c>
      <c r="C126" s="1"/>
      <c r="D126" s="1"/>
      <c r="E126" s="8"/>
      <c r="F126" s="1" t="str">
        <f>_xlfn.XLOOKUP(Table13[[#This Row],[EmpID]],'[1]Sheet5 (2)'!$D$1:$D$201,'[1]Sheet5 (2)'!$A$1:$A$201,"Data Not Found",0)</f>
        <v>22 Lanka Road</v>
      </c>
    </row>
    <row r="127" spans="1:6" x14ac:dyDescent="0.3">
      <c r="A127" s="2" t="s">
        <v>130</v>
      </c>
      <c r="B127" s="1" t="str">
        <f>_xlfn.XLOOKUP(Table13[[#This Row],[EmpID]],[1]Sheet1!$A$1:$A$201,[1]Sheet1!$B$1:$B$201,"Data Not Found",0)</f>
        <v>Anjali Menon</v>
      </c>
      <c r="C127" s="1"/>
      <c r="D127" s="1"/>
      <c r="E127" s="8"/>
      <c r="F127" s="1" t="str">
        <f>_xlfn.XLOOKUP(Table13[[#This Row],[EmpID]],'[1]Sheet5 (2)'!$D$1:$D$201,'[1]Sheet5 (2)'!$A$1:$A$201,"Data Not Found",0)</f>
        <v>5 Shastri Nagar</v>
      </c>
    </row>
    <row r="128" spans="1:6" x14ac:dyDescent="0.3">
      <c r="A128" s="2" t="s">
        <v>131</v>
      </c>
      <c r="B128" s="1" t="str">
        <f>_xlfn.XLOOKUP(Table13[[#This Row],[EmpID]],[1]Sheet1!$A$1:$A$201,[1]Sheet1!$B$1:$B$201,"Data Not Found",0)</f>
        <v>Rajesh Patel</v>
      </c>
      <c r="C128" s="1"/>
      <c r="D128" s="1"/>
      <c r="E128" s="8"/>
      <c r="F128" s="1" t="str">
        <f>_xlfn.XLOOKUP(Table13[[#This Row],[EmpID]],'[1]Sheet5 (2)'!$D$1:$D$201,'[1]Sheet5 (2)'!$A$1:$A$201,"Data Not Found",0)</f>
        <v>18 Ferozepur Road</v>
      </c>
    </row>
    <row r="129" spans="1:6" x14ac:dyDescent="0.3">
      <c r="A129" s="2" t="s">
        <v>132</v>
      </c>
      <c r="B129" s="1" t="str">
        <f>_xlfn.XLOOKUP(Table13[[#This Row],[EmpID]],[1]Sheet1!$A$1:$A$201,[1]Sheet1!$B$1:$B$201,"Data Not Found",0)</f>
        <v>Meera Nambiar</v>
      </c>
      <c r="C129" s="1"/>
      <c r="D129" s="1"/>
      <c r="E129" s="8"/>
      <c r="F129" s="1" t="str">
        <f>_xlfn.XLOOKUP(Table13[[#This Row],[EmpID]],'[1]Sheet5 (2)'!$D$1:$D$201,'[1]Sheet5 (2)'!$A$1:$A$201,"Data Not Found",0)</f>
        <v>7 Lawrence Road</v>
      </c>
    </row>
    <row r="130" spans="1:6" x14ac:dyDescent="0.3">
      <c r="A130" s="2" t="s">
        <v>133</v>
      </c>
      <c r="B130" s="1" t="str">
        <f>_xlfn.XLOOKUP(Table13[[#This Row],[EmpID]],[1]Sheet1!$A$1:$A$201,[1]Sheet1!$B$1:$B$201,"Data Not Found",0)</f>
        <v>Pranav Kulkarni</v>
      </c>
      <c r="C130" s="1"/>
      <c r="D130" s="1"/>
      <c r="E130" s="8"/>
      <c r="F130" s="1" t="str">
        <f>_xlfn.XLOOKUP(Table13[[#This Row],[EmpID]],'[1]Sheet5 (2)'!$D$1:$D$201,'[1]Sheet5 (2)'!$A$1:$A$201,"Data Not Found",0)</f>
        <v>4 Model Town</v>
      </c>
    </row>
    <row r="131" spans="1:6" x14ac:dyDescent="0.3">
      <c r="A131" s="2" t="s">
        <v>134</v>
      </c>
      <c r="B131" s="1" t="str">
        <f>_xlfn.XLOOKUP(Table13[[#This Row],[EmpID]],[1]Sheet1!$A$1:$A$201,[1]Sheet1!$B$1:$B$201,"Data Not Found",0)</f>
        <v>Sunita Dutta</v>
      </c>
      <c r="C131" s="1"/>
      <c r="D131" s="1"/>
      <c r="E131" s="8"/>
      <c r="F131" s="1" t="str">
        <f>_xlfn.XLOOKUP(Table13[[#This Row],[EmpID]],'[1]Sheet5 (2)'!$D$1:$D$201,'[1]Sheet5 (2)'!$A$1:$A$201,"Data Not Found",0)</f>
        <v>12 Rajpur Road</v>
      </c>
    </row>
    <row r="132" spans="1:6" x14ac:dyDescent="0.3">
      <c r="A132" s="2" t="s">
        <v>135</v>
      </c>
      <c r="B132" s="1" t="str">
        <f>_xlfn.XLOOKUP(Table13[[#This Row],[EmpID]],[1]Sheet1!$A$1:$A$201,[1]Sheet1!$B$1:$B$201,"Data Not Found",0)</f>
        <v>Arnav Sharma</v>
      </c>
      <c r="C132" s="1"/>
      <c r="D132" s="1"/>
      <c r="E132" s="8"/>
      <c r="F132" s="1" t="str">
        <f>_xlfn.XLOOKUP(Table13[[#This Row],[EmpID]],'[1]Sheet5 (2)'!$D$1:$D$201,'[1]Sheet5 (2)'!$A$1:$A$201,"Data Not Found",0)</f>
        <v>2 The Mall</v>
      </c>
    </row>
    <row r="133" spans="1:6" x14ac:dyDescent="0.3">
      <c r="A133" s="2" t="s">
        <v>136</v>
      </c>
      <c r="B133" s="1" t="str">
        <f>_xlfn.XLOOKUP(Table13[[#This Row],[EmpID]],[1]Sheet1!$A$1:$A$201,[1]Sheet1!$B$1:$B$201,"Data Not Found",0)</f>
        <v>Anita Verma</v>
      </c>
      <c r="C133" s="1"/>
      <c r="D133" s="1"/>
      <c r="E133" s="8"/>
      <c r="F133" s="1" t="str">
        <f>_xlfn.XLOOKUP(Table13[[#This Row],[EmpID]],'[1]Sheet5 (2)'!$D$1:$D$201,'[1]Sheet5 (2)'!$A$1:$A$201,"Data Not Found",0)</f>
        <v>9 Lal Chowk</v>
      </c>
    </row>
    <row r="134" spans="1:6" x14ac:dyDescent="0.3">
      <c r="A134" s="2" t="s">
        <v>137</v>
      </c>
      <c r="B134" s="1" t="str">
        <f>_xlfn.XLOOKUP(Table13[[#This Row],[EmpID]],[1]Sheet1!$A$1:$A$201,[1]Sheet1!$B$1:$B$201,"Data Not Found",0)</f>
        <v>Krishna Menon</v>
      </c>
      <c r="C134" s="1"/>
      <c r="D134" s="1"/>
      <c r="E134" s="8"/>
      <c r="F134" s="1" t="str">
        <f>_xlfn.XLOOKUP(Table13[[#This Row],[EmpID]],'[1]Sheet5 (2)'!$D$1:$D$201,'[1]Sheet5 (2)'!$A$1:$A$201,"Data Not Found",0)</f>
        <v>16 GS Road</v>
      </c>
    </row>
    <row r="135" spans="1:6" x14ac:dyDescent="0.3">
      <c r="A135" s="2" t="s">
        <v>138</v>
      </c>
      <c r="B135" s="1" t="str">
        <f>_xlfn.XLOOKUP(Table13[[#This Row],[EmpID]],[1]Sheet1!$A$1:$A$201,[1]Sheet1!$B$1:$B$201,"Data Not Found",0)</f>
        <v>Rekha Malhotra</v>
      </c>
      <c r="C135" s="1"/>
      <c r="D135" s="1"/>
      <c r="E135" s="8"/>
      <c r="F135" s="1" t="str">
        <f>_xlfn.XLOOKUP(Table13[[#This Row],[EmpID]],'[1]Sheet5 (2)'!$D$1:$D$201,'[1]Sheet5 (2)'!$A$1:$A$201,"Data Not Found",0)</f>
        <v>5 Thangal Bazar</v>
      </c>
    </row>
    <row r="136" spans="1:6" x14ac:dyDescent="0.3">
      <c r="A136" s="2" t="s">
        <v>139</v>
      </c>
      <c r="B136" s="1" t="str">
        <f>_xlfn.XLOOKUP(Table13[[#This Row],[EmpID]],[1]Sheet1!$A$1:$A$201,[1]Sheet1!$B$1:$B$201,"Data Not Found",0)</f>
        <v>Rahul Chopra</v>
      </c>
      <c r="C136" s="1"/>
      <c r="D136" s="1"/>
      <c r="E136" s="8"/>
      <c r="F136" s="1" t="str">
        <f>_xlfn.XLOOKUP(Table13[[#This Row],[EmpID]],'[1]Sheet5 (2)'!$D$1:$D$201,'[1]Sheet5 (2)'!$A$1:$A$201,"Data Not Found",0)</f>
        <v>11 VIP Road</v>
      </c>
    </row>
    <row r="137" spans="1:6" x14ac:dyDescent="0.3">
      <c r="A137" s="2" t="s">
        <v>140</v>
      </c>
      <c r="B137" s="1" t="str">
        <f>_xlfn.XLOOKUP(Table13[[#This Row],[EmpID]],[1]Sheet1!$A$1:$A$201,[1]Sheet1!$B$1:$B$201,"Data Not Found",0)</f>
        <v>Neha Bhattacharya</v>
      </c>
      <c r="C137" s="1"/>
      <c r="D137" s="1"/>
      <c r="E137" s="8"/>
      <c r="F137" s="1" t="str">
        <f>_xlfn.XLOOKUP(Table13[[#This Row],[EmpID]],'[1]Sheet5 (2)'!$D$1:$D$201,'[1]Sheet5 (2)'!$A$1:$A$201,"Data Not Found",0)</f>
        <v>8 Kohima Road</v>
      </c>
    </row>
    <row r="138" spans="1:6" x14ac:dyDescent="0.3">
      <c r="A138" s="2" t="s">
        <v>141</v>
      </c>
      <c r="B138" s="1" t="str">
        <f>_xlfn.XLOOKUP(Table13[[#This Row],[EmpID]],[1]Sheet1!$A$1:$A$201,[1]Sheet1!$B$1:$B$201,"Data Not Found",0)</f>
        <v>Pradeep Iyer</v>
      </c>
      <c r="C138" s="1"/>
      <c r="D138" s="1"/>
      <c r="E138" s="8"/>
      <c r="F138" s="1" t="str">
        <f>_xlfn.XLOOKUP(Table13[[#This Row],[EmpID]],'[1]Sheet5 (2)'!$D$1:$D$201,'[1]Sheet5 (2)'!$A$1:$A$201,"Data Not Found",0)</f>
        <v>3 Zarkawt</v>
      </c>
    </row>
    <row r="139" spans="1:6" x14ac:dyDescent="0.3">
      <c r="A139" s="2" t="s">
        <v>142</v>
      </c>
      <c r="B139" s="1" t="str">
        <f>_xlfn.XLOOKUP(Table13[[#This Row],[EmpID]],[1]Sheet1!$A$1:$A$201,[1]Sheet1!$B$1:$B$201,"Data Not Found",0)</f>
        <v>Ankita Ghosh</v>
      </c>
      <c r="C139" s="1"/>
      <c r="D139" s="1"/>
      <c r="E139" s="8"/>
      <c r="F139" s="1" t="str">
        <f>_xlfn.XLOOKUP(Table13[[#This Row],[EmpID]],'[1]Sheet5 (2)'!$D$1:$D$201,'[1]Sheet5 (2)'!$A$1:$A$201,"Data Not Found",0)</f>
        <v>14 Aberdeen Bazaar</v>
      </c>
    </row>
    <row r="140" spans="1:6" x14ac:dyDescent="0.3">
      <c r="A140" s="2" t="s">
        <v>143</v>
      </c>
      <c r="B140" s="1" t="str">
        <f>_xlfn.XLOOKUP(Table13[[#This Row],[EmpID]],[1]Sheet1!$A$1:$A$201,[1]Sheet1!$B$1:$B$201,"Data Not Found",0)</f>
        <v>Manish Nair</v>
      </c>
      <c r="C140" s="1"/>
      <c r="D140" s="1"/>
      <c r="E140" s="8"/>
      <c r="F140" s="1" t="str">
        <f>_xlfn.XLOOKUP(Table13[[#This Row],[EmpID]],'[1]Sheet5 (2)'!$D$1:$D$201,'[1]Sheet5 (2)'!$A$1:$A$201,"Data Not Found",0)</f>
        <v>10 MG Road</v>
      </c>
    </row>
    <row r="141" spans="1:6" x14ac:dyDescent="0.3">
      <c r="A141" s="2" t="s">
        <v>144</v>
      </c>
      <c r="B141" s="1" t="str">
        <f>_xlfn.XLOOKUP(Table13[[#This Row],[EmpID]],[1]Sheet1!$A$1:$A$201,[1]Sheet1!$B$1:$B$201,"Data Not Found",0)</f>
        <v>Divya Kulkarni</v>
      </c>
      <c r="C141" s="1"/>
      <c r="D141" s="1"/>
      <c r="E141" s="8"/>
      <c r="F141" s="1" t="str">
        <f>_xlfn.XLOOKUP(Table13[[#This Row],[EmpID]],'[1]Sheet5 (2)'!$D$1:$D$201,'[1]Sheet5 (2)'!$A$1:$A$201,"Data Not Found",0)</f>
        <v>26 Park Street</v>
      </c>
    </row>
    <row r="142" spans="1:6" x14ac:dyDescent="0.3">
      <c r="A142" s="2" t="s">
        <v>145</v>
      </c>
      <c r="B142" s="1" t="str">
        <f>_xlfn.XLOOKUP(Table13[[#This Row],[EmpID]],[1]Sheet1!$A$1:$A$201,[1]Sheet1!$B$1:$B$201,"Data Not Found",0)</f>
        <v>Aditya Shah</v>
      </c>
      <c r="C142" s="1"/>
      <c r="D142" s="1"/>
      <c r="E142" s="8"/>
      <c r="F142" s="1" t="str">
        <f>_xlfn.XLOOKUP(Table13[[#This Row],[EmpID]],'[1]Sheet5 (2)'!$D$1:$D$201,'[1]Sheet5 (2)'!$A$1:$A$201,"Data Not Found",0)</f>
        <v>4 Brigade Road</v>
      </c>
    </row>
    <row r="143" spans="1:6" x14ac:dyDescent="0.3">
      <c r="A143" s="2" t="s">
        <v>146</v>
      </c>
      <c r="B143" s="1" t="str">
        <f>_xlfn.XLOOKUP(Table13[[#This Row],[EmpID]],[1]Sheet1!$A$1:$A$201,[1]Sheet1!$B$1:$B$201,"Data Not Found",0)</f>
        <v>Shalini Menon</v>
      </c>
      <c r="C143" s="1"/>
      <c r="D143" s="1"/>
      <c r="E143" s="8"/>
      <c r="F143" s="1" t="str">
        <f>_xlfn.XLOOKUP(Table13[[#This Row],[EmpID]],'[1]Sheet5 (2)'!$D$1:$D$201,'[1]Sheet5 (2)'!$A$1:$A$201,"Data Not Found",0)</f>
        <v>19 Anna Salai</v>
      </c>
    </row>
    <row r="144" spans="1:6" x14ac:dyDescent="0.3">
      <c r="A144" s="2" t="s">
        <v>147</v>
      </c>
      <c r="B144" s="1" t="str">
        <f>_xlfn.XLOOKUP(Table13[[#This Row],[EmpID]],[1]Sheet1!$A$1:$A$201,[1]Sheet1!$B$1:$B$201,"Data Not Found",0)</f>
        <v>Arjun Bhat</v>
      </c>
      <c r="C144" s="1"/>
      <c r="D144" s="1"/>
      <c r="E144" s="8"/>
      <c r="F144" s="1" t="str">
        <f>_xlfn.XLOOKUP(Table13[[#This Row],[EmpID]],'[1]Sheet5 (2)'!$D$1:$D$201,'[1]Sheet5 (2)'!$A$1:$A$201,"Data Not Found",0)</f>
        <v>33 Marine Drive</v>
      </c>
    </row>
    <row r="145" spans="1:6" x14ac:dyDescent="0.3">
      <c r="A145" s="2" t="s">
        <v>148</v>
      </c>
      <c r="B145" s="1" t="str">
        <f>_xlfn.XLOOKUP(Table13[[#This Row],[EmpID]],[1]Sheet1!$A$1:$A$201,[1]Sheet1!$B$1:$B$201,"Data Not Found",0)</f>
        <v>Neeta Gupta</v>
      </c>
      <c r="C145" s="1"/>
      <c r="D145" s="1"/>
      <c r="E145" s="8"/>
      <c r="F145" s="1" t="str">
        <f>_xlfn.XLOOKUP(Table13[[#This Row],[EmpID]],'[1]Sheet5 (2)'!$D$1:$D$201,'[1]Sheet5 (2)'!$A$1:$A$201,"Data Not Found",0)</f>
        <v>15 Koregaon Park</v>
      </c>
    </row>
    <row r="146" spans="1:6" x14ac:dyDescent="0.3">
      <c r="A146" s="2" t="s">
        <v>149</v>
      </c>
      <c r="B146" s="1" t="str">
        <f>_xlfn.XLOOKUP(Table13[[#This Row],[EmpID]],[1]Sheet1!$A$1:$A$201,[1]Sheet1!$B$1:$B$201,"Data Not Found",0)</f>
        <v>Prerna Kapoor</v>
      </c>
      <c r="C146" s="1"/>
      <c r="D146" s="1"/>
      <c r="E146" s="8"/>
      <c r="F146" s="1" t="str">
        <f>_xlfn.XLOOKUP(Table13[[#This Row],[EmpID]],'[1]Sheet5 (2)'!$D$1:$D$201,'[1]Sheet5 (2)'!$A$1:$A$201,"Data Not Found",0)</f>
        <v>6 Banjara Hills</v>
      </c>
    </row>
    <row r="147" spans="1:6" x14ac:dyDescent="0.3">
      <c r="A147" s="2" t="s">
        <v>150</v>
      </c>
      <c r="B147" s="1" t="str">
        <f>_xlfn.XLOOKUP(Table13[[#This Row],[EmpID]],[1]Sheet1!$A$1:$A$201,[1]Sheet1!$B$1:$B$201,"Data Not Found",0)</f>
        <v>Rajiv Desai</v>
      </c>
      <c r="C147" s="1"/>
      <c r="D147" s="1"/>
      <c r="E147" s="8"/>
      <c r="F147" s="1" t="str">
        <f>_xlfn.XLOOKUP(Table13[[#This Row],[EmpID]],'[1]Sheet5 (2)'!$D$1:$D$201,'[1]Sheet5 (2)'!$A$1:$A$201,"Data Not Found",0)</f>
        <v>9 CG Road</v>
      </c>
    </row>
    <row r="148" spans="1:6" x14ac:dyDescent="0.3">
      <c r="A148" s="2" t="s">
        <v>151</v>
      </c>
      <c r="B148" s="1" t="str">
        <f>_xlfn.XLOOKUP(Table13[[#This Row],[EmpID]],[1]Sheet1!$A$1:$A$201,[1]Sheet1!$B$1:$B$201,"Data Not Found",0)</f>
        <v>Anupama Rao</v>
      </c>
      <c r="C148" s="1"/>
      <c r="D148" s="1"/>
      <c r="E148" s="8"/>
      <c r="F148" s="1" t="str">
        <f>_xlfn.XLOOKUP(Table13[[#This Row],[EmpID]],'[1]Sheet5 (2)'!$D$1:$D$201,'[1]Sheet5 (2)'!$A$1:$A$201,"Data Not Found",0)</f>
        <v>12 Hazratganj</v>
      </c>
    </row>
    <row r="149" spans="1:6" x14ac:dyDescent="0.3">
      <c r="A149" s="2" t="s">
        <v>152</v>
      </c>
      <c r="B149" s="1" t="str">
        <f>_xlfn.XLOOKUP(Table13[[#This Row],[EmpID]],[1]Sheet1!$A$1:$A$201,[1]Sheet1!$B$1:$B$201,"Data Not Found",0)</f>
        <v>Sameer Verma</v>
      </c>
      <c r="C149" s="1"/>
      <c r="D149" s="1"/>
      <c r="E149" s="8"/>
      <c r="F149" s="1" t="str">
        <f>_xlfn.XLOOKUP(Table13[[#This Row],[EmpID]],'[1]Sheet5 (2)'!$D$1:$D$201,'[1]Sheet5 (2)'!$A$1:$A$201,"Data Not Found",0)</f>
        <v>8 MI Road</v>
      </c>
    </row>
    <row r="150" spans="1:6" x14ac:dyDescent="0.3">
      <c r="A150" s="2" t="s">
        <v>153</v>
      </c>
      <c r="B150" s="1" t="str">
        <f>_xlfn.XLOOKUP(Table13[[#This Row],[EmpID]],[1]Sheet1!$A$1:$A$201,[1]Sheet1!$B$1:$B$201,"Data Not Found",0)</f>
        <v>Meera Singh</v>
      </c>
      <c r="C150" s="1"/>
      <c r="D150" s="1"/>
      <c r="E150" s="8"/>
      <c r="F150" s="1" t="str">
        <f>_xlfn.XLOOKUP(Table13[[#This Row],[EmpID]],'[1]Sheet5 (2)'!$D$1:$D$201,'[1]Sheet5 (2)'!$A$1:$A$201,"Data Not Found",0)</f>
        <v>21 Sector 17</v>
      </c>
    </row>
    <row r="151" spans="1:6" x14ac:dyDescent="0.3">
      <c r="A151" s="2" t="s">
        <v>154</v>
      </c>
      <c r="B151" s="1" t="str">
        <f>_xlfn.XLOOKUP(Table13[[#This Row],[EmpID]],[1]Sheet1!$A$1:$A$201,[1]Sheet1!$B$1:$B$201,"Data Not Found",0)</f>
        <v>Arun Menon</v>
      </c>
      <c r="C151" s="1"/>
      <c r="D151" s="1"/>
      <c r="E151" s="8"/>
      <c r="F151" s="1" t="str">
        <f>_xlfn.XLOOKUP(Table13[[#This Row],[EmpID]],'[1]Sheet5 (2)'!$D$1:$D$201,'[1]Sheet5 (2)'!$A$1:$A$201,"Data Not Found",0)</f>
        <v>5 Udyog Vihar</v>
      </c>
    </row>
    <row r="152" spans="1:6" x14ac:dyDescent="0.3">
      <c r="A152" s="2" t="s">
        <v>155</v>
      </c>
      <c r="B152" s="1" t="str">
        <f>_xlfn.XLOOKUP(Table13[[#This Row],[EmpID]],[1]Sheet1!$A$1:$A$201,[1]Sheet1!$B$1:$B$201,"Data Not Found",0)</f>
        <v>Neeraj Gupta</v>
      </c>
      <c r="C152" s="1"/>
      <c r="D152" s="1"/>
      <c r="E152" s="8"/>
      <c r="F152" s="1" t="str">
        <f>_xlfn.XLOOKUP(Table13[[#This Row],[EmpID]],'[1]Sheet5 (2)'!$D$1:$D$201,'[1]Sheet5 (2)'!$A$1:$A$201,"Data Not Found",0)</f>
        <v>17 Sector 18</v>
      </c>
    </row>
    <row r="153" spans="1:6" x14ac:dyDescent="0.3">
      <c r="A153" s="2" t="s">
        <v>156</v>
      </c>
      <c r="B153" s="1" t="str">
        <f>_xlfn.XLOOKUP(Table13[[#This Row],[EmpID]],[1]Sheet1!$A$1:$A$201,[1]Sheet1!$B$1:$B$201,"Data Not Found",0)</f>
        <v>Shweta Sharma</v>
      </c>
      <c r="C153" s="1"/>
      <c r="D153" s="1"/>
      <c r="E153" s="8"/>
      <c r="F153" s="1" t="str">
        <f>_xlfn.XLOOKUP(Table13[[#This Row],[EmpID]],'[1]Sheet5 (2)'!$D$1:$D$201,'[1]Sheet5 (2)'!$A$1:$A$201,"Data Not Found",0)</f>
        <v>3 Raj Nagar</v>
      </c>
    </row>
    <row r="154" spans="1:6" x14ac:dyDescent="0.3">
      <c r="A154" s="2" t="s">
        <v>157</v>
      </c>
      <c r="B154" s="1" t="str">
        <f>_xlfn.XLOOKUP(Table13[[#This Row],[EmpID]],[1]Sheet1!$A$1:$A$201,[1]Sheet1!$B$1:$B$201,"Data Not Found",0)</f>
        <v>Pratik Patel</v>
      </c>
      <c r="C154" s="1"/>
      <c r="D154" s="1"/>
      <c r="E154" s="8"/>
      <c r="F154" s="1" t="str">
        <f>_xlfn.XLOOKUP(Table13[[#This Row],[EmpID]],'[1]Sheet5 (2)'!$D$1:$D$201,'[1]Sheet5 (2)'!$A$1:$A$201,"Data Not Found",0)</f>
        <v>11 Indirapuram</v>
      </c>
    </row>
    <row r="155" spans="1:6" x14ac:dyDescent="0.3">
      <c r="A155" s="2" t="s">
        <v>158</v>
      </c>
      <c r="B155" s="1" t="str">
        <f>_xlfn.XLOOKUP(Table13[[#This Row],[EmpID]],[1]Sheet1!$A$1:$A$201,[1]Sheet1!$B$1:$B$201,"Data Not Found",0)</f>
        <v>Anjali Chawla</v>
      </c>
      <c r="C155" s="1"/>
      <c r="D155" s="1"/>
      <c r="E155" s="8"/>
      <c r="F155" s="1" t="str">
        <f>_xlfn.XLOOKUP(Table13[[#This Row],[EmpID]],'[1]Sheet5 (2)'!$D$1:$D$201,'[1]Sheet5 (2)'!$A$1:$A$201,"Data Not Found",0)</f>
        <v>6 Swaroop Nagar</v>
      </c>
    </row>
    <row r="156" spans="1:6" x14ac:dyDescent="0.3">
      <c r="A156" s="2" t="s">
        <v>159</v>
      </c>
      <c r="B156" s="1" t="str">
        <f>_xlfn.XLOOKUP(Table13[[#This Row],[EmpID]],[1]Sheet1!$A$1:$A$201,[1]Sheet1!$B$1:$B$201,"Data Not Found",0)</f>
        <v>Rohit Bhatt</v>
      </c>
      <c r="C156" s="1"/>
      <c r="D156" s="1"/>
      <c r="E156" s="8"/>
      <c r="F156" s="1" t="str">
        <f>_xlfn.XLOOKUP(Table13[[#This Row],[EmpID]],'[1]Sheet5 (2)'!$D$1:$D$201,'[1]Sheet5 (2)'!$A$1:$A$201,"Data Not Found",0)</f>
        <v>9 Athwagate</v>
      </c>
    </row>
    <row r="157" spans="1:6" x14ac:dyDescent="0.3">
      <c r="A157" s="2" t="s">
        <v>160</v>
      </c>
      <c r="B157" s="1" t="str">
        <f>_xlfn.XLOOKUP(Table13[[#This Row],[EmpID]],[1]Sheet1!$A$1:$A$201,[1]Sheet1!$B$1:$B$201,"Data Not Found",0)</f>
        <v>Divya Reddy</v>
      </c>
      <c r="C157" s="1"/>
      <c r="D157" s="1"/>
      <c r="E157" s="8"/>
      <c r="F157" s="1" t="str">
        <f>_xlfn.XLOOKUP(Table13[[#This Row],[EmpID]],'[1]Sheet5 (2)'!$D$1:$D$201,'[1]Sheet5 (2)'!$A$1:$A$201,"Data Not Found",0)</f>
        <v>14 Sama Road</v>
      </c>
    </row>
    <row r="158" spans="1:6" x14ac:dyDescent="0.3">
      <c r="A158" s="2" t="s">
        <v>161</v>
      </c>
      <c r="B158" s="1" t="str">
        <f>_xlfn.XLOOKUP(Table13[[#This Row],[EmpID]],[1]Sheet1!$A$1:$A$201,[1]Sheet1!$B$1:$B$201,"Data Not Found",0)</f>
        <v>Sunil Iyer</v>
      </c>
      <c r="C158" s="1"/>
      <c r="D158" s="1"/>
      <c r="E158" s="8"/>
      <c r="F158" s="1" t="str">
        <f>_xlfn.XLOOKUP(Table13[[#This Row],[EmpID]],'[1]Sheet5 (2)'!$D$1:$D$201,'[1]Sheet5 (2)'!$A$1:$A$201,"Data Not Found",0)</f>
        <v>7 Arera Hills</v>
      </c>
    </row>
    <row r="159" spans="1:6" x14ac:dyDescent="0.3">
      <c r="A159" s="2" t="s">
        <v>162</v>
      </c>
      <c r="B159" s="1" t="str">
        <f>_xlfn.XLOOKUP(Table13[[#This Row],[EmpID]],[1]Sheet1!$A$1:$A$201,[1]Sheet1!$B$1:$B$201,"Data Not Found",0)</f>
        <v>Megha Banerjee</v>
      </c>
      <c r="C159" s="1"/>
      <c r="D159" s="1"/>
      <c r="E159" s="8"/>
      <c r="F159" s="1" t="str">
        <f>_xlfn.XLOOKUP(Table13[[#This Row],[EmpID]],'[1]Sheet5 (2)'!$D$1:$D$201,'[1]Sheet5 (2)'!$A$1:$A$201,"Data Not Found",0)</f>
        <v>10 MR10 Road</v>
      </c>
    </row>
    <row r="160" spans="1:6" x14ac:dyDescent="0.3">
      <c r="A160" s="2" t="s">
        <v>163</v>
      </c>
      <c r="B160" s="1" t="str">
        <f>_xlfn.XLOOKUP(Table13[[#This Row],[EmpID]],[1]Sheet1!$A$1:$A$201,[1]Sheet1!$B$1:$B$201,"Data Not Found",0)</f>
        <v>Arvind Menon</v>
      </c>
      <c r="C160" s="1"/>
      <c r="D160" s="1"/>
      <c r="E160" s="8"/>
      <c r="F160" s="1" t="str">
        <f>_xlfn.XLOOKUP(Table13[[#This Row],[EmpID]],'[1]Sheet5 (2)'!$D$1:$D$201,'[1]Sheet5 (2)'!$A$1:$A$201,"Data Not Found",0)</f>
        <v>2 Bailey Road</v>
      </c>
    </row>
    <row r="161" spans="1:6" x14ac:dyDescent="0.3">
      <c r="A161" s="2" t="s">
        <v>164</v>
      </c>
      <c r="B161" s="1" t="str">
        <f>_xlfn.XLOOKUP(Table13[[#This Row],[EmpID]],[1]Sheet1!$A$1:$A$201,[1]Sheet1!$B$1:$B$201,"Data Not Found",0)</f>
        <v>Anita Saini</v>
      </c>
      <c r="C161" s="1"/>
      <c r="D161" s="1"/>
      <c r="E161" s="8"/>
      <c r="F161" s="1" t="str">
        <f>_xlfn.XLOOKUP(Table13[[#This Row],[EmpID]],'[1]Sheet5 (2)'!$D$1:$D$201,'[1]Sheet5 (2)'!$A$1:$A$201,"Data Not Found",0)</f>
        <v>8 Doranda Road</v>
      </c>
    </row>
    <row r="162" spans="1:6" x14ac:dyDescent="0.3">
      <c r="A162" s="2" t="s">
        <v>165</v>
      </c>
      <c r="B162" s="1" t="str">
        <f>_xlfn.XLOOKUP(Table13[[#This Row],[EmpID]],[1]Sheet1!$A$1:$A$201,[1]Sheet1!$B$1:$B$201,"Data Not Found",0)</f>
        <v>Prakash Sharma</v>
      </c>
      <c r="C162" s="1"/>
      <c r="D162" s="1"/>
      <c r="E162" s="8"/>
      <c r="F162" s="1" t="str">
        <f>_xlfn.XLOOKUP(Table13[[#This Row],[EmpID]],'[1]Sheet5 (2)'!$D$1:$D$201,'[1]Sheet5 (2)'!$A$1:$A$201,"Data Not Found",0)</f>
        <v>13 Rasulgarh</v>
      </c>
    </row>
    <row r="163" spans="1:6" x14ac:dyDescent="0.3">
      <c r="A163" s="2" t="s">
        <v>166</v>
      </c>
      <c r="B163" s="1" t="str">
        <f>_xlfn.XLOOKUP(Table13[[#This Row],[EmpID]],[1]Sheet1!$A$1:$A$201,[1]Sheet1!$B$1:$B$201,"Data Not Found",0)</f>
        <v>Neha Verma</v>
      </c>
      <c r="C163" s="1"/>
      <c r="D163" s="1"/>
      <c r="E163" s="8"/>
      <c r="F163" s="1" t="str">
        <f>_xlfn.XLOOKUP(Table13[[#This Row],[EmpID]],'[1]Sheet5 (2)'!$D$1:$D$201,'[1]Sheet5 (2)'!$A$1:$A$201,"Data Not Found",0)</f>
        <v>5 Gandhipuram</v>
      </c>
    </row>
    <row r="164" spans="1:6" x14ac:dyDescent="0.3">
      <c r="A164" s="2" t="s">
        <v>167</v>
      </c>
      <c r="B164" s="1" t="str">
        <f>_xlfn.XLOOKUP(Table13[[#This Row],[EmpID]],[1]Sheet1!$A$1:$A$201,[1]Sheet1!$B$1:$B$201,"Data Not Found",0)</f>
        <v>Aditya Joshi</v>
      </c>
      <c r="C164" s="1"/>
      <c r="D164" s="1"/>
      <c r="E164" s="8"/>
      <c r="F164" s="1" t="str">
        <f>_xlfn.XLOOKUP(Table13[[#This Row],[EmpID]],'[1]Sheet5 (2)'!$D$1:$D$201,'[1]Sheet5 (2)'!$A$1:$A$201,"Data Not Found",0)</f>
        <v>6 Fort Kochi</v>
      </c>
    </row>
    <row r="165" spans="1:6" x14ac:dyDescent="0.3">
      <c r="A165" s="2" t="s">
        <v>168</v>
      </c>
      <c r="B165" s="1" t="str">
        <f>_xlfn.XLOOKUP(Table13[[#This Row],[EmpID]],[1]Sheet1!$A$1:$A$201,[1]Sheet1!$B$1:$B$201,"Data Not Found",0)</f>
        <v>Shweta Kapoor</v>
      </c>
      <c r="C165" s="1"/>
      <c r="D165" s="1"/>
      <c r="E165" s="8"/>
      <c r="F165" s="1" t="str">
        <f>_xlfn.XLOOKUP(Table13[[#This Row],[EmpID]],'[1]Sheet5 (2)'!$D$1:$D$201,'[1]Sheet5 (2)'!$A$1:$A$201,"Data Not Found",0)</f>
        <v>18 Pattom</v>
      </c>
    </row>
    <row r="166" spans="1:6" x14ac:dyDescent="0.3">
      <c r="A166" s="2" t="s">
        <v>169</v>
      </c>
      <c r="B166" s="1" t="str">
        <f>_xlfn.XLOOKUP(Table13[[#This Row],[EmpID]],[1]Sheet1!$A$1:$A$201,[1]Sheet1!$B$1:$B$201,"Data Not Found",0)</f>
        <v>Manish Reddy</v>
      </c>
      <c r="C166" s="1"/>
      <c r="D166" s="1"/>
      <c r="E166" s="8"/>
      <c r="F166" s="1" t="str">
        <f>_xlfn.XLOOKUP(Table13[[#This Row],[EmpID]],'[1]Sheet5 (2)'!$D$1:$D$201,'[1]Sheet5 (2)'!$A$1:$A$201,"Data Not Found",0)</f>
        <v>9 Nazarbad Road</v>
      </c>
    </row>
    <row r="167" spans="1:6" x14ac:dyDescent="0.3">
      <c r="A167" s="2" t="s">
        <v>170</v>
      </c>
      <c r="B167" s="1" t="str">
        <f>_xlfn.XLOOKUP(Table13[[#This Row],[EmpID]],[1]Sheet1!$A$1:$A$201,[1]Sheet1!$B$1:$B$201,"Data Not Found",0)</f>
        <v>Anjali Dutta</v>
      </c>
      <c r="C167" s="1"/>
      <c r="D167" s="1"/>
      <c r="E167" s="8"/>
      <c r="F167" s="1" t="str">
        <f>_xlfn.XLOOKUP(Table13[[#This Row],[EmpID]],'[1]Sheet5 (2)'!$D$1:$D$201,'[1]Sheet5 (2)'!$A$1:$A$201,"Data Not Found",0)</f>
        <v>12 Dharampeth</v>
      </c>
    </row>
    <row r="168" spans="1:6" x14ac:dyDescent="0.3">
      <c r="A168" s="2" t="s">
        <v>171</v>
      </c>
      <c r="B168" s="1" t="str">
        <f>_xlfn.XLOOKUP(Table13[[#This Row],[EmpID]],[1]Sheet1!$A$1:$A$201,[1]Sheet1!$B$1:$B$201,"Data Not Found",0)</f>
        <v>Rajesh Iyer</v>
      </c>
      <c r="C168" s="1"/>
      <c r="D168" s="1"/>
      <c r="E168" s="8"/>
      <c r="F168" s="1" t="str">
        <f>_xlfn.XLOOKUP(Table13[[#This Row],[EmpID]],'[1]Sheet5 (2)'!$D$1:$D$201,'[1]Sheet5 (2)'!$A$1:$A$201,"Data Not Found",0)</f>
        <v>4 College Road</v>
      </c>
    </row>
    <row r="169" spans="1:6" x14ac:dyDescent="0.3">
      <c r="A169" s="2" t="s">
        <v>172</v>
      </c>
      <c r="B169" s="1" t="str">
        <f>_xlfn.XLOOKUP(Table13[[#This Row],[EmpID]],[1]Sheet1!$A$1:$A$201,[1]Sheet1!$B$1:$B$201,"Data Not Found",0)</f>
        <v>Meera Shah</v>
      </c>
      <c r="C169" s="1"/>
      <c r="D169" s="1"/>
      <c r="E169" s="8"/>
      <c r="F169" s="1" t="str">
        <f>_xlfn.XLOOKUP(Table13[[#This Row],[EmpID]],'[1]Sheet5 (2)'!$D$1:$D$201,'[1]Sheet5 (2)'!$A$1:$A$201,"Data Not Found",0)</f>
        <v>7 Sardarpura</v>
      </c>
    </row>
    <row r="170" spans="1:6" x14ac:dyDescent="0.3">
      <c r="A170" s="2" t="s">
        <v>173</v>
      </c>
      <c r="B170" s="1" t="str">
        <f>_xlfn.XLOOKUP(Table13[[#This Row],[EmpID]],[1]Sheet1!$A$1:$A$201,[1]Sheet1!$B$1:$B$201,"Data Not Found",0)</f>
        <v>Pranav Sood</v>
      </c>
      <c r="C170" s="1"/>
      <c r="D170" s="1"/>
      <c r="E170" s="8"/>
      <c r="F170" s="1" t="str">
        <f>_xlfn.XLOOKUP(Table13[[#This Row],[EmpID]],'[1]Sheet5 (2)'!$D$1:$D$201,'[1]Sheet5 (2)'!$A$1:$A$201,"Data Not Found",0)</f>
        <v>16 Dewali</v>
      </c>
    </row>
    <row r="171" spans="1:6" x14ac:dyDescent="0.3">
      <c r="A171" s="2" t="s">
        <v>174</v>
      </c>
      <c r="B171" s="1" t="str">
        <f>_xlfn.XLOOKUP(Table13[[#This Row],[EmpID]],[1]Sheet1!$A$1:$A$201,[1]Sheet1!$B$1:$B$201,"Data Not Found",0)</f>
        <v>Sunita Menon</v>
      </c>
      <c r="C171" s="1"/>
      <c r="D171" s="1"/>
      <c r="E171" s="8"/>
      <c r="F171" s="1" t="str">
        <f>_xlfn.XLOOKUP(Table13[[#This Row],[EmpID]],'[1]Sheet5 (2)'!$D$1:$D$201,'[1]Sheet5 (2)'!$A$1:$A$201,"Data Not Found",0)</f>
        <v>10 Sanjay Place</v>
      </c>
    </row>
    <row r="172" spans="1:6" x14ac:dyDescent="0.3">
      <c r="A172" s="2" t="s">
        <v>175</v>
      </c>
      <c r="B172" s="1" t="str">
        <f>_xlfn.XLOOKUP(Table13[[#This Row],[EmpID]],[1]Sheet1!$A$1:$A$201,[1]Sheet1!$B$1:$B$201,"Data Not Found",0)</f>
        <v>Arjun Chopra</v>
      </c>
      <c r="C172" s="1"/>
      <c r="D172" s="1"/>
      <c r="E172" s="8"/>
      <c r="F172" s="1" t="str">
        <f>_xlfn.XLOOKUP(Table13[[#This Row],[EmpID]],'[1]Sheet5 (2)'!$D$1:$D$201,'[1]Sheet5 (2)'!$A$1:$A$201,"Data Not Found",0)</f>
        <v>2 Lanka Road</v>
      </c>
    </row>
    <row r="173" spans="1:6" x14ac:dyDescent="0.3">
      <c r="A173" s="2" t="s">
        <v>176</v>
      </c>
      <c r="B173" s="1" t="str">
        <f>_xlfn.XLOOKUP(Table13[[#This Row],[EmpID]],[1]Sheet1!$A$1:$A$201,[1]Sheet1!$B$1:$B$201,"Data Not Found",0)</f>
        <v>Neha Nair</v>
      </c>
      <c r="C173" s="1"/>
      <c r="D173" s="1"/>
      <c r="E173" s="8"/>
      <c r="F173" s="1" t="str">
        <f>_xlfn.XLOOKUP(Table13[[#This Row],[EmpID]],'[1]Sheet5 (2)'!$D$1:$D$201,'[1]Sheet5 (2)'!$A$1:$A$201,"Data Not Found",0)</f>
        <v>14 Shastri Nagar</v>
      </c>
    </row>
    <row r="174" spans="1:6" x14ac:dyDescent="0.3">
      <c r="A174" s="2" t="s">
        <v>177</v>
      </c>
      <c r="B174" s="1" t="str">
        <f>_xlfn.XLOOKUP(Table13[[#This Row],[EmpID]],[1]Sheet1!$A$1:$A$201,[1]Sheet1!$B$1:$B$201,"Data Not Found",0)</f>
        <v>Devanshi Gupta</v>
      </c>
      <c r="C174" s="1"/>
      <c r="D174" s="1"/>
      <c r="E174" s="8"/>
      <c r="F174" s="1" t="str">
        <f>_xlfn.XLOOKUP(Table13[[#This Row],[EmpID]],'[1]Sheet5 (2)'!$D$1:$D$201,'[1]Sheet5 (2)'!$A$1:$A$201,"Data Not Found",0)</f>
        <v>11 Ferozepur Road</v>
      </c>
    </row>
    <row r="175" spans="1:6" x14ac:dyDescent="0.3">
      <c r="A175" s="2" t="s">
        <v>178</v>
      </c>
      <c r="B175" s="1" t="str">
        <f>_xlfn.XLOOKUP(Table13[[#This Row],[EmpID]],[1]Sheet1!$A$1:$A$201,[1]Sheet1!$B$1:$B$201,"Data Not Found",0)</f>
        <v>Rakesh Verma</v>
      </c>
      <c r="C175" s="1"/>
      <c r="D175" s="1"/>
      <c r="E175" s="8"/>
      <c r="F175" s="1" t="str">
        <f>_xlfn.XLOOKUP(Table13[[#This Row],[EmpID]],'[1]Sheet5 (2)'!$D$1:$D$201,'[1]Sheet5 (2)'!$A$1:$A$201,"Data Not Found",0)</f>
        <v>6 Lawrence Road</v>
      </c>
    </row>
    <row r="176" spans="1:6" x14ac:dyDescent="0.3">
      <c r="A176" s="2" t="s">
        <v>179</v>
      </c>
      <c r="B176" s="1" t="str">
        <f>_xlfn.XLOOKUP(Table13[[#This Row],[EmpID]],[1]Sheet1!$A$1:$A$201,[1]Sheet1!$B$1:$B$201,"Data Not Found",0)</f>
        <v>Shreya Patel</v>
      </c>
      <c r="C176" s="1"/>
      <c r="D176" s="1"/>
      <c r="E176" s="8"/>
      <c r="F176" s="1" t="str">
        <f>_xlfn.XLOOKUP(Table13[[#This Row],[EmpID]],'[1]Sheet5 (2)'!$D$1:$D$201,'[1]Sheet5 (2)'!$A$1:$A$201,"Data Not Found",0)</f>
        <v>8 Model Town</v>
      </c>
    </row>
    <row r="177" spans="1:6" x14ac:dyDescent="0.3">
      <c r="A177" s="2" t="s">
        <v>180</v>
      </c>
      <c r="B177" s="1" t="str">
        <f>_xlfn.XLOOKUP(Table13[[#This Row],[EmpID]],[1]Sheet1!$A$1:$A$201,[1]Sheet1!$B$1:$B$201,"Data Not Found",0)</f>
        <v>Anil Menon</v>
      </c>
      <c r="C177" s="1"/>
      <c r="D177" s="1"/>
      <c r="E177" s="8"/>
      <c r="F177" s="1" t="str">
        <f>_xlfn.XLOOKUP(Table13[[#This Row],[EmpID]],'[1]Sheet5 (2)'!$D$1:$D$201,'[1]Sheet5 (2)'!$A$1:$A$201,"Data Not Found",0)</f>
        <v>20 Rajpur Road</v>
      </c>
    </row>
    <row r="178" spans="1:6" x14ac:dyDescent="0.3">
      <c r="A178" s="2" t="s">
        <v>181</v>
      </c>
      <c r="B178" s="1" t="str">
        <f>_xlfn.XLOOKUP(Table13[[#This Row],[EmpID]],[1]Sheet1!$A$1:$A$201,[1]Sheet1!$B$1:$B$201,"Data Not Found",0)</f>
        <v>Rekha Bhat</v>
      </c>
      <c r="C178" s="1"/>
      <c r="D178" s="1"/>
      <c r="E178" s="8"/>
      <c r="F178" s="1" t="str">
        <f>_xlfn.XLOOKUP(Table13[[#This Row],[EmpID]],'[1]Sheet5 (2)'!$D$1:$D$201,'[1]Sheet5 (2)'!$A$1:$A$201,"Data Not Found",0)</f>
        <v>3 The Mall</v>
      </c>
    </row>
    <row r="179" spans="1:6" x14ac:dyDescent="0.3">
      <c r="A179" s="2" t="s">
        <v>182</v>
      </c>
      <c r="B179" s="1" t="str">
        <f>_xlfn.XLOOKUP(Table13[[#This Row],[EmpID]],[1]Sheet1!$A$1:$A$201,[1]Sheet1!$B$1:$B$201,"Data Not Found",0)</f>
        <v>Pratik Ghosh</v>
      </c>
      <c r="C179" s="1"/>
      <c r="D179" s="1"/>
      <c r="E179" s="8"/>
      <c r="F179" s="1" t="str">
        <f>_xlfn.XLOOKUP(Table13[[#This Row],[EmpID]],'[1]Sheet5 (2)'!$D$1:$D$201,'[1]Sheet5 (2)'!$A$1:$A$201,"Data Not Found",0)</f>
        <v>9 Lal Chowk</v>
      </c>
    </row>
    <row r="180" spans="1:6" x14ac:dyDescent="0.3">
      <c r="A180" s="2" t="s">
        <v>183</v>
      </c>
      <c r="B180" s="1" t="str">
        <f>_xlfn.XLOOKUP(Table13[[#This Row],[EmpID]],[1]Sheet1!$A$1:$A$201,[1]Sheet1!$B$1:$B$201,"Data Not Found",0)</f>
        <v>Manish Kapoor</v>
      </c>
      <c r="C180" s="1"/>
      <c r="D180" s="1"/>
      <c r="E180" s="8"/>
      <c r="F180" s="1" t="str">
        <f>_xlfn.XLOOKUP(Table13[[#This Row],[EmpID]],'[1]Sheet5 (2)'!$D$1:$D$201,'[1]Sheet5 (2)'!$A$1:$A$201,"Data Not Found",0)</f>
        <v>5 GS Road</v>
      </c>
    </row>
    <row r="181" spans="1:6" x14ac:dyDescent="0.3">
      <c r="A181" s="2" t="s">
        <v>184</v>
      </c>
      <c r="B181" s="1" t="str">
        <f>_xlfn.XLOOKUP(Table13[[#This Row],[EmpID]],[1]Sheet1!$A$1:$A$201,[1]Sheet1!$B$1:$B$201,"Data Not Found",0)</f>
        <v>Divya Nambiar</v>
      </c>
      <c r="C181" s="1"/>
      <c r="D181" s="1"/>
      <c r="E181" s="8"/>
      <c r="F181" s="1" t="str">
        <f>_xlfn.XLOOKUP(Table13[[#This Row],[EmpID]],'[1]Sheet5 (2)'!$D$1:$D$201,'[1]Sheet5 (2)'!$A$1:$A$201,"Data Not Found",0)</f>
        <v>12 Thangal Bazar</v>
      </c>
    </row>
    <row r="182" spans="1:6" x14ac:dyDescent="0.3">
      <c r="A182" s="2" t="s">
        <v>185</v>
      </c>
      <c r="B182" s="1" t="str">
        <f>_xlfn.XLOOKUP(Table13[[#This Row],[EmpID]],[1]Sheet1!$A$1:$A$201,[1]Sheet1!$B$1:$B$201,"Data Not Found",0)</f>
        <v>Arjun Kumar</v>
      </c>
      <c r="C182" s="1"/>
      <c r="D182" s="1"/>
      <c r="E182" s="8"/>
      <c r="F182" s="1" t="str">
        <f>_xlfn.XLOOKUP(Table13[[#This Row],[EmpID]],'[1]Sheet5 (2)'!$D$1:$D$201,'[1]Sheet5 (2)'!$A$1:$A$201,"Data Not Found",0)</f>
        <v>7 VIP Road</v>
      </c>
    </row>
    <row r="183" spans="1:6" x14ac:dyDescent="0.3">
      <c r="A183" s="2" t="s">
        <v>186</v>
      </c>
      <c r="B183" s="1" t="str">
        <f>_xlfn.XLOOKUP(Table13[[#This Row],[EmpID]],[1]Sheet1!$A$1:$A$201,[1]Sheet1!$B$1:$B$201,"Data Not Found",0)</f>
        <v>Shalini Iqbal</v>
      </c>
      <c r="C183" s="1"/>
      <c r="D183" s="1"/>
      <c r="E183" s="8"/>
      <c r="F183" s="1" t="str">
        <f>_xlfn.XLOOKUP(Table13[[#This Row],[EmpID]],'[1]Sheet5 (2)'!$D$1:$D$201,'[1]Sheet5 (2)'!$A$1:$A$201,"Data Not Found",0)</f>
        <v>4 Kohima Road</v>
      </c>
    </row>
    <row r="184" spans="1:6" x14ac:dyDescent="0.3">
      <c r="A184" s="2" t="s">
        <v>187</v>
      </c>
      <c r="B184" s="1" t="str">
        <f>_xlfn.XLOOKUP(Table13[[#This Row],[EmpID]],[1]Sheet1!$A$1:$A$201,[1]Sheet1!$B$1:$B$201,"Data Not Found",0)</f>
        <v>Krishna Sharma</v>
      </c>
      <c r="C184" s="1"/>
      <c r="D184" s="1"/>
      <c r="E184" s="8"/>
      <c r="F184" s="1" t="str">
        <f>_xlfn.XLOOKUP(Table13[[#This Row],[EmpID]],'[1]Sheet5 (2)'!$D$1:$D$201,'[1]Sheet5 (2)'!$A$1:$A$201,"Data Not Found",0)</f>
        <v>15 Zarkawt</v>
      </c>
    </row>
    <row r="185" spans="1:6" x14ac:dyDescent="0.3">
      <c r="A185" s="2" t="s">
        <v>188</v>
      </c>
      <c r="B185" s="1" t="str">
        <f>_xlfn.XLOOKUP(Table13[[#This Row],[EmpID]],[1]Sheet1!$A$1:$A$201,[1]Sheet1!$B$1:$B$201,"Data Not Found",0)</f>
        <v>Neeta Menon</v>
      </c>
      <c r="C185" s="1"/>
      <c r="D185" s="1"/>
      <c r="E185" s="8"/>
      <c r="F185" s="1" t="str">
        <f>_xlfn.XLOOKUP(Table13[[#This Row],[EmpID]],'[1]Sheet5 (2)'!$D$1:$D$201,'[1]Sheet5 (2)'!$A$1:$A$201,"Data Not Found",0)</f>
        <v>6 Aberdeen Bazaar</v>
      </c>
    </row>
    <row r="186" spans="1:6" x14ac:dyDescent="0.3">
      <c r="A186" s="2" t="s">
        <v>189</v>
      </c>
      <c r="B186" s="1" t="str">
        <f>_xlfn.XLOOKUP(Table13[[#This Row],[EmpID]],[1]Sheet1!$A$1:$A$201,[1]Sheet1!$B$1:$B$201,"Data Not Found",0)</f>
        <v>Rahul Nair</v>
      </c>
      <c r="C186" s="1"/>
      <c r="D186" s="1"/>
      <c r="E186" s="8"/>
      <c r="F186" s="1" t="str">
        <f>_xlfn.XLOOKUP(Table13[[#This Row],[EmpID]],'[1]Sheet5 (2)'!$D$1:$D$201,'[1]Sheet5 (2)'!$A$1:$A$201,"Data Not Found",0)</f>
        <v>21 MG Road</v>
      </c>
    </row>
    <row r="187" spans="1:6" x14ac:dyDescent="0.3">
      <c r="A187" s="2" t="s">
        <v>190</v>
      </c>
      <c r="B187" s="1" t="str">
        <f>_xlfn.XLOOKUP(Table13[[#This Row],[EmpID]],[1]Sheet1!$A$1:$A$201,[1]Sheet1!$B$1:$B$201,"Data Not Found",0)</f>
        <v>Anita Kulkarni</v>
      </c>
      <c r="C187" s="1"/>
      <c r="D187" s="1"/>
      <c r="E187" s="8"/>
      <c r="F187" s="1" t="str">
        <f>_xlfn.XLOOKUP(Table13[[#This Row],[EmpID]],'[1]Sheet5 (2)'!$D$1:$D$201,'[1]Sheet5 (2)'!$A$1:$A$201,"Data Not Found",0)</f>
        <v>28 Park Street</v>
      </c>
    </row>
    <row r="188" spans="1:6" x14ac:dyDescent="0.3">
      <c r="A188" s="2" t="s">
        <v>191</v>
      </c>
      <c r="B188" s="1" t="str">
        <f>_xlfn.XLOOKUP(Table13[[#This Row],[EmpID]],[1]Sheet1!$A$1:$A$201,[1]Sheet1!$B$1:$B$201,"Data Not Found",0)</f>
        <v>Praveen Shah</v>
      </c>
      <c r="C188" s="1"/>
      <c r="D188" s="1"/>
      <c r="E188" s="8"/>
      <c r="F188" s="1" t="str">
        <f>_xlfn.XLOOKUP(Table13[[#This Row],[EmpID]],'[1]Sheet5 (2)'!$D$1:$D$201,'[1]Sheet5 (2)'!$A$1:$A$201,"Data Not Found",0)</f>
        <v>10 Brigade Road</v>
      </c>
    </row>
    <row r="189" spans="1:6" x14ac:dyDescent="0.3">
      <c r="A189" s="2" t="s">
        <v>192</v>
      </c>
      <c r="B189" s="1" t="str">
        <f>_xlfn.XLOOKUP(Table13[[#This Row],[EmpID]],[1]Sheet1!$A$1:$A$201,[1]Sheet1!$B$1:$B$201,"Data Not Found",0)</f>
        <v>Megha Bhatt</v>
      </c>
      <c r="C189" s="1"/>
      <c r="D189" s="1"/>
      <c r="E189" s="8"/>
      <c r="F189" s="1" t="str">
        <f>_xlfn.XLOOKUP(Table13[[#This Row],[EmpID]],'[1]Sheet5 (2)'!$D$1:$D$201,'[1]Sheet5 (2)'!$A$1:$A$201,"Data Not Found",0)</f>
        <v>17 Anna Salai</v>
      </c>
    </row>
    <row r="190" spans="1:6" x14ac:dyDescent="0.3">
      <c r="A190" s="2" t="s">
        <v>193</v>
      </c>
      <c r="B190" s="1" t="str">
        <f>_xlfn.XLOOKUP(Table13[[#This Row],[EmpID]],[1]Sheet1!$A$1:$A$201,[1]Sheet1!$B$1:$B$201,"Data Not Found",0)</f>
        <v>Arvind Gupta</v>
      </c>
      <c r="C190" s="1"/>
      <c r="D190" s="1"/>
      <c r="E190" s="8"/>
      <c r="F190" s="1" t="str">
        <f>_xlfn.XLOOKUP(Table13[[#This Row],[EmpID]],'[1]Sheet5 (2)'!$D$1:$D$201,'[1]Sheet5 (2)'!$A$1:$A$201,"Data Not Found",0)</f>
        <v>13 Marine Drive</v>
      </c>
    </row>
    <row r="191" spans="1:6" x14ac:dyDescent="0.3">
      <c r="A191" s="2" t="s">
        <v>194</v>
      </c>
      <c r="B191" s="1" t="str">
        <f>_xlfn.XLOOKUP(Table13[[#This Row],[EmpID]],[1]Sheet1!$A$1:$A$201,[1]Sheet1!$B$1:$B$201,"Data Not Found",0)</f>
        <v>Sunita D'Souza</v>
      </c>
      <c r="C191" s="1"/>
      <c r="D191" s="1"/>
      <c r="E191" s="8"/>
      <c r="F191" s="1" t="str">
        <f>_xlfn.XLOOKUP(Table13[[#This Row],[EmpID]],'[1]Sheet5 (2)'!$D$1:$D$201,'[1]Sheet5 (2)'!$A$1:$A$201,"Data Not Found",0)</f>
        <v>8 Koregaon Park</v>
      </c>
    </row>
    <row r="192" spans="1:6" x14ac:dyDescent="0.3">
      <c r="A192" s="2" t="s">
        <v>195</v>
      </c>
      <c r="B192" s="1" t="str">
        <f>_xlfn.XLOOKUP(Table13[[#This Row],[EmpID]],[1]Sheet1!$A$1:$A$201,[1]Sheet1!$B$1:$B$201,"Data Not Found",0)</f>
        <v>Aditya Mehta</v>
      </c>
      <c r="C192" s="1"/>
      <c r="D192" s="1"/>
      <c r="E192" s="8"/>
      <c r="F192" s="1" t="str">
        <f>_xlfn.XLOOKUP(Table13[[#This Row],[EmpID]],'[1]Sheet5 (2)'!$D$1:$D$201,'[1]Sheet5 (2)'!$A$1:$A$201,"Data Not Found",0)</f>
        <v>6 Banjara Hills</v>
      </c>
    </row>
    <row r="193" spans="1:6" x14ac:dyDescent="0.3">
      <c r="A193" s="2" t="s">
        <v>196</v>
      </c>
      <c r="B193" s="1" t="str">
        <f>_xlfn.XLOOKUP(Table13[[#This Row],[EmpID]],[1]Sheet1!$A$1:$A$201,[1]Sheet1!$B$1:$B$201,"Data Not Found",0)</f>
        <v>Neha Chopra</v>
      </c>
      <c r="C193" s="1"/>
      <c r="D193" s="1"/>
      <c r="E193" s="8"/>
      <c r="F193" s="1" t="str">
        <f>_xlfn.XLOOKUP(Table13[[#This Row],[EmpID]],'[1]Sheet5 (2)'!$D$1:$D$201,'[1]Sheet5 (2)'!$A$1:$A$201,"Data Not Found",0)</f>
        <v>19 CG Road</v>
      </c>
    </row>
    <row r="194" spans="1:6" x14ac:dyDescent="0.3">
      <c r="A194" s="2" t="s">
        <v>197</v>
      </c>
      <c r="B194" s="1" t="str">
        <f>_xlfn.XLOOKUP(Table13[[#This Row],[EmpID]],[1]Sheet1!$A$1:$A$201,[1]Sheet1!$B$1:$B$201,"Data Not Found",0)</f>
        <v>Devansh Rao</v>
      </c>
      <c r="C194" s="1"/>
      <c r="D194" s="1"/>
      <c r="E194" s="8"/>
      <c r="F194" s="1" t="str">
        <f>_xlfn.XLOOKUP(Table13[[#This Row],[EmpID]],'[1]Sheet5 (2)'!$D$1:$D$201,'[1]Sheet5 (2)'!$A$1:$A$201,"Data Not Found",0)</f>
        <v>11 Hazratganj</v>
      </c>
    </row>
    <row r="195" spans="1:6" x14ac:dyDescent="0.3">
      <c r="A195" s="2" t="s">
        <v>198</v>
      </c>
      <c r="B195" s="1" t="str">
        <f>_xlfn.XLOOKUP(Table13[[#This Row],[EmpID]],[1]Sheet1!$A$1:$A$201,[1]Sheet1!$B$1:$B$201,"Data Not Found",0)</f>
        <v>Shreya Menon</v>
      </c>
      <c r="C195" s="1"/>
      <c r="D195" s="1"/>
      <c r="E195" s="8"/>
      <c r="F195" s="1" t="str">
        <f>_xlfn.XLOOKUP(Table13[[#This Row],[EmpID]],'[1]Sheet5 (2)'!$D$1:$D$201,'[1]Sheet5 (2)'!$A$1:$A$201,"Data Not Found",0)</f>
        <v>5 MI Road</v>
      </c>
    </row>
    <row r="196" spans="1:6" x14ac:dyDescent="0.3">
      <c r="A196" s="2" t="s">
        <v>199</v>
      </c>
      <c r="B196" s="1" t="str">
        <f>_xlfn.XLOOKUP(Table13[[#This Row],[EmpID]],[1]Sheet1!$A$1:$A$201,[1]Sheet1!$B$1:$B$201,"Data Not Found",0)</f>
        <v>Manish Shah</v>
      </c>
      <c r="C196" s="1"/>
      <c r="D196" s="1"/>
      <c r="E196" s="8"/>
      <c r="F196" s="1" t="str">
        <f>_xlfn.XLOOKUP(Table13[[#This Row],[EmpID]],'[1]Sheet5 (2)'!$D$1:$D$201,'[1]Sheet5 (2)'!$A$1:$A$201,"Data Not Found",0)</f>
        <v>14 Sector 17</v>
      </c>
    </row>
    <row r="197" spans="1:6" x14ac:dyDescent="0.3">
      <c r="A197" s="2" t="s">
        <v>200</v>
      </c>
      <c r="B197" s="1" t="str">
        <f>_xlfn.XLOOKUP(Table13[[#This Row],[EmpID]],[1]Sheet1!$A$1:$A$201,[1]Sheet1!$B$1:$B$201,"Data Not Found",0)</f>
        <v>Anjali Iyer</v>
      </c>
      <c r="C197" s="1"/>
      <c r="D197" s="1"/>
      <c r="E197" s="8"/>
      <c r="F197" s="1" t="str">
        <f>_xlfn.XLOOKUP(Table13[[#This Row],[EmpID]],'[1]Sheet5 (2)'!$D$1:$D$201,'[1]Sheet5 (2)'!$A$1:$A$201,"Data Not Found",0)</f>
        <v>9 Udyog Vihar</v>
      </c>
    </row>
    <row r="198" spans="1:6" x14ac:dyDescent="0.3">
      <c r="A198" s="2" t="s">
        <v>201</v>
      </c>
      <c r="B198" s="1" t="str">
        <f>_xlfn.XLOOKUP(Table13[[#This Row],[EmpID]],[1]Sheet1!$A$1:$A$201,[1]Sheet1!$B$1:$B$201,"Data Not Found",0)</f>
        <v>Prakash Bhatt</v>
      </c>
      <c r="C198" s="1"/>
      <c r="D198" s="1"/>
      <c r="E198" s="8"/>
      <c r="F198" s="1" t="str">
        <f>_xlfn.XLOOKUP(Table13[[#This Row],[EmpID]],'[1]Sheet5 (2)'!$D$1:$D$201,'[1]Sheet5 (2)'!$A$1:$A$201,"Data Not Found",0)</f>
        <v>4 Sector 18</v>
      </c>
    </row>
    <row r="199" spans="1:6" x14ac:dyDescent="0.3">
      <c r="A199" s="2" t="s">
        <v>202</v>
      </c>
      <c r="B199" s="1" t="str">
        <f>_xlfn.XLOOKUP(Table13[[#This Row],[EmpID]],[1]Sheet1!$A$1:$A$201,[1]Sheet1!$B$1:$B$201,"Data Not Found",0)</f>
        <v>Meera Ghosh</v>
      </c>
      <c r="C199" s="1"/>
      <c r="D199" s="1"/>
      <c r="E199" s="8"/>
      <c r="F199" s="1" t="str">
        <f>_xlfn.XLOOKUP(Table13[[#This Row],[EmpID]],'[1]Sheet5 (2)'!$D$1:$D$201,'[1]Sheet5 (2)'!$A$1:$A$201,"Data Not Found",0)</f>
        <v>2 Raj Nagar</v>
      </c>
    </row>
    <row r="200" spans="1:6" x14ac:dyDescent="0.3">
      <c r="A200" s="2" t="s">
        <v>203</v>
      </c>
      <c r="B200" s="1" t="str">
        <f>_xlfn.XLOOKUP(Table13[[#This Row],[EmpID]],[1]Sheet1!$A$1:$A$201,[1]Sheet1!$B$1:$B$201,"Data Not Found",0)</f>
        <v>Arjun Singh</v>
      </c>
      <c r="C200" s="1"/>
      <c r="D200" s="1"/>
      <c r="E200" s="8"/>
      <c r="F200" s="1" t="str">
        <f>_xlfn.XLOOKUP(Table13[[#This Row],[EmpID]],'[1]Sheet5 (2)'!$D$1:$D$201,'[1]Sheet5 (2)'!$A$1:$A$201,"Data Not Found",0)</f>
        <v>13 Indirapuram</v>
      </c>
    </row>
    <row r="201" spans="1:6" x14ac:dyDescent="0.3">
      <c r="A201" s="6" t="s">
        <v>204</v>
      </c>
      <c r="B201" s="7" t="str">
        <f>_xlfn.XLOOKUP(Table13[[#This Row],[EmpID]],[1]Sheet1!$A$1:$A$201,[1]Sheet1!$B$1:$B$201,"Data Not Found",0)</f>
        <v>Neeta Patel</v>
      </c>
      <c r="C201" s="7"/>
      <c r="D201" s="7"/>
      <c r="E201" s="9"/>
      <c r="F201" s="7" t="str">
        <f>_xlfn.XLOOKUP(Table13[[#This Row],[EmpID]],'[1]Sheet5 (2)'!$D$1:$D$201,'[1]Sheet5 (2)'!$A$1:$A$201,"Data Not Found",0)</f>
        <v>7 Swaroop Nagar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zoomScale="130" zoomScaleNormal="130" workbookViewId="0">
      <selection activeCell="D12" sqref="D12"/>
    </sheetView>
  </sheetViews>
  <sheetFormatPr defaultRowHeight="14.4" x14ac:dyDescent="0.3"/>
  <cols>
    <col min="1" max="1" width="12.21875" customWidth="1"/>
    <col min="2" max="2" width="15.77734375" customWidth="1"/>
    <col min="3" max="3" width="16.33203125" customWidth="1"/>
    <col min="4" max="4" width="11.88671875" customWidth="1"/>
    <col min="5" max="5" width="17.109375" bestFit="1" customWidth="1"/>
    <col min="6" max="6" width="17.109375" customWidth="1"/>
  </cols>
  <sheetData>
    <row r="1" spans="1:6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205</v>
      </c>
    </row>
    <row r="2" spans="1:6" x14ac:dyDescent="0.3">
      <c r="A2" s="2" t="s">
        <v>5</v>
      </c>
      <c r="B2" s="1"/>
      <c r="C2" s="1"/>
      <c r="D2" s="1"/>
      <c r="E2" s="8"/>
      <c r="F2" s="10"/>
    </row>
    <row r="3" spans="1:6" x14ac:dyDescent="0.3">
      <c r="A3" s="2" t="s">
        <v>6</v>
      </c>
      <c r="B3" s="1"/>
      <c r="C3" s="1"/>
      <c r="D3" s="1"/>
      <c r="E3" s="8"/>
      <c r="F3" s="1"/>
    </row>
    <row r="4" spans="1:6" x14ac:dyDescent="0.3">
      <c r="A4" s="2" t="s">
        <v>7</v>
      </c>
      <c r="B4" s="1"/>
      <c r="C4" s="1"/>
      <c r="D4" s="1"/>
      <c r="E4" s="8"/>
      <c r="F4" s="1"/>
    </row>
    <row r="5" spans="1:6" x14ac:dyDescent="0.3">
      <c r="A5" s="2" t="s">
        <v>8</v>
      </c>
      <c r="B5" s="1"/>
      <c r="C5" s="1"/>
      <c r="D5" s="1"/>
      <c r="E5" s="8"/>
      <c r="F5" s="1"/>
    </row>
    <row r="6" spans="1:6" ht="12" customHeight="1" x14ac:dyDescent="0.3">
      <c r="A6" s="2" t="s">
        <v>9</v>
      </c>
      <c r="B6" s="1"/>
      <c r="C6" s="1"/>
      <c r="D6" s="1"/>
      <c r="E6" s="8"/>
      <c r="F6" s="1"/>
    </row>
    <row r="7" spans="1:6" x14ac:dyDescent="0.3">
      <c r="A7" s="2" t="s">
        <v>10</v>
      </c>
      <c r="B7" s="1"/>
      <c r="C7" s="1"/>
      <c r="D7" s="1"/>
      <c r="E7" s="8"/>
      <c r="F7" s="1"/>
    </row>
    <row r="8" spans="1:6" x14ac:dyDescent="0.3">
      <c r="A8" s="2" t="s">
        <v>11</v>
      </c>
      <c r="B8" s="1"/>
      <c r="C8" s="1"/>
      <c r="D8" s="1"/>
      <c r="E8" s="8"/>
      <c r="F8" s="1"/>
    </row>
    <row r="9" spans="1:6" x14ac:dyDescent="0.3">
      <c r="A9" s="2" t="s">
        <v>12</v>
      </c>
      <c r="B9" s="1"/>
      <c r="C9" s="1"/>
      <c r="D9" s="1"/>
      <c r="E9" s="8"/>
      <c r="F9" s="1"/>
    </row>
    <row r="10" spans="1:6" x14ac:dyDescent="0.3">
      <c r="A10" s="2" t="s">
        <v>13</v>
      </c>
      <c r="B10" s="1"/>
      <c r="C10" s="1"/>
      <c r="D10" s="1"/>
      <c r="E10" s="8"/>
      <c r="F10" s="1"/>
    </row>
    <row r="11" spans="1:6" x14ac:dyDescent="0.3">
      <c r="A11" s="2" t="s">
        <v>14</v>
      </c>
      <c r="B11" s="1"/>
      <c r="C11" s="1"/>
      <c r="D11" s="1"/>
      <c r="E11" s="8"/>
      <c r="F11" s="1"/>
    </row>
    <row r="12" spans="1:6" x14ac:dyDescent="0.3">
      <c r="A12" s="2" t="s">
        <v>15</v>
      </c>
      <c r="B12" s="1"/>
      <c r="C12" s="1"/>
      <c r="D12" s="1"/>
      <c r="E12" s="8"/>
      <c r="F12" s="1"/>
    </row>
    <row r="13" spans="1:6" x14ac:dyDescent="0.3">
      <c r="A13" s="2" t="s">
        <v>16</v>
      </c>
      <c r="B13" s="1"/>
      <c r="C13" s="1"/>
      <c r="D13" s="1"/>
      <c r="E13" s="8"/>
      <c r="F13" s="1"/>
    </row>
    <row r="14" spans="1:6" x14ac:dyDescent="0.3">
      <c r="A14" s="2" t="s">
        <v>17</v>
      </c>
      <c r="B14" s="1"/>
      <c r="C14" s="1"/>
      <c r="D14" s="1"/>
      <c r="E14" s="8"/>
      <c r="F14" s="1"/>
    </row>
    <row r="15" spans="1:6" x14ac:dyDescent="0.3">
      <c r="A15" s="2" t="s">
        <v>18</v>
      </c>
      <c r="B15" s="1"/>
      <c r="C15" s="1"/>
      <c r="D15" s="1"/>
      <c r="E15" s="8"/>
      <c r="F15" s="1"/>
    </row>
    <row r="16" spans="1:6" x14ac:dyDescent="0.3">
      <c r="A16" s="2" t="s">
        <v>19</v>
      </c>
      <c r="B16" s="1"/>
      <c r="C16" s="1"/>
      <c r="D16" s="1"/>
      <c r="E16" s="8"/>
      <c r="F16" s="1"/>
    </row>
    <row r="17" spans="1:6" x14ac:dyDescent="0.3">
      <c r="A17" s="2" t="s">
        <v>20</v>
      </c>
      <c r="B17" s="1"/>
      <c r="C17" s="1"/>
      <c r="D17" s="1"/>
      <c r="E17" s="8"/>
      <c r="F17" s="1"/>
    </row>
    <row r="18" spans="1:6" x14ac:dyDescent="0.3">
      <c r="A18" s="2" t="s">
        <v>21</v>
      </c>
      <c r="B18" s="1"/>
      <c r="C18" s="1"/>
      <c r="D18" s="1"/>
      <c r="E18" s="8"/>
      <c r="F18" s="1"/>
    </row>
    <row r="19" spans="1:6" x14ac:dyDescent="0.3">
      <c r="A19" s="2" t="s">
        <v>22</v>
      </c>
      <c r="B19" s="1"/>
      <c r="C19" s="1"/>
      <c r="D19" s="1"/>
      <c r="E19" s="8"/>
      <c r="F19" s="1"/>
    </row>
    <row r="20" spans="1:6" x14ac:dyDescent="0.3">
      <c r="A20" s="2" t="s">
        <v>23</v>
      </c>
      <c r="B20" s="1"/>
      <c r="C20" s="1"/>
      <c r="D20" s="1"/>
      <c r="E20" s="8"/>
      <c r="F20" s="1"/>
    </row>
    <row r="21" spans="1:6" x14ac:dyDescent="0.3">
      <c r="A21" s="2" t="s">
        <v>24</v>
      </c>
      <c r="B21" s="1"/>
      <c r="C21" s="1"/>
      <c r="D21" s="1"/>
      <c r="E21" s="8"/>
      <c r="F21" s="1"/>
    </row>
    <row r="22" spans="1:6" x14ac:dyDescent="0.3">
      <c r="A22" s="2" t="s">
        <v>25</v>
      </c>
      <c r="B22" s="1"/>
      <c r="C22" s="1"/>
      <c r="D22" s="1"/>
      <c r="E22" s="8"/>
      <c r="F22" s="1"/>
    </row>
    <row r="23" spans="1:6" x14ac:dyDescent="0.3">
      <c r="A23" s="2" t="s">
        <v>26</v>
      </c>
      <c r="B23" s="1"/>
      <c r="C23" s="1"/>
      <c r="D23" s="1"/>
      <c r="E23" s="8"/>
      <c r="F23" s="1"/>
    </row>
    <row r="24" spans="1:6" x14ac:dyDescent="0.3">
      <c r="A24" s="2" t="s">
        <v>27</v>
      </c>
      <c r="B24" s="1"/>
      <c r="C24" s="1"/>
      <c r="D24" s="1"/>
      <c r="E24" s="8"/>
      <c r="F24" s="1"/>
    </row>
    <row r="25" spans="1:6" x14ac:dyDescent="0.3">
      <c r="A25" s="2" t="s">
        <v>28</v>
      </c>
      <c r="B25" s="1"/>
      <c r="C25" s="1"/>
      <c r="D25" s="1"/>
      <c r="E25" s="8"/>
      <c r="F25" s="1"/>
    </row>
    <row r="26" spans="1:6" x14ac:dyDescent="0.3">
      <c r="A26" s="2" t="s">
        <v>29</v>
      </c>
      <c r="B26" s="1"/>
      <c r="C26" s="1"/>
      <c r="D26" s="1"/>
      <c r="E26" s="8"/>
      <c r="F26" s="1"/>
    </row>
    <row r="27" spans="1:6" x14ac:dyDescent="0.3">
      <c r="A27" s="2" t="s">
        <v>30</v>
      </c>
      <c r="B27" s="1"/>
      <c r="C27" s="1"/>
      <c r="D27" s="1"/>
      <c r="E27" s="8"/>
      <c r="F27" s="1"/>
    </row>
    <row r="28" spans="1:6" x14ac:dyDescent="0.3">
      <c r="A28" s="2" t="s">
        <v>31</v>
      </c>
      <c r="B28" s="1"/>
      <c r="C28" s="1"/>
      <c r="D28" s="1"/>
      <c r="E28" s="8"/>
      <c r="F28" s="1"/>
    </row>
    <row r="29" spans="1:6" x14ac:dyDescent="0.3">
      <c r="A29" s="2" t="s">
        <v>32</v>
      </c>
      <c r="B29" s="1"/>
      <c r="C29" s="1"/>
      <c r="D29" s="1"/>
      <c r="E29" s="8"/>
      <c r="F29" s="1"/>
    </row>
    <row r="30" spans="1:6" x14ac:dyDescent="0.3">
      <c r="A30" s="2" t="s">
        <v>33</v>
      </c>
      <c r="B30" s="1"/>
      <c r="C30" s="1"/>
      <c r="D30" s="1"/>
      <c r="E30" s="8"/>
      <c r="F30" s="1"/>
    </row>
    <row r="31" spans="1:6" x14ac:dyDescent="0.3">
      <c r="A31" s="2" t="s">
        <v>34</v>
      </c>
      <c r="B31" s="1"/>
      <c r="C31" s="1"/>
      <c r="D31" s="1"/>
      <c r="E31" s="8"/>
      <c r="F31" s="1"/>
    </row>
    <row r="32" spans="1:6" x14ac:dyDescent="0.3">
      <c r="A32" s="2" t="s">
        <v>35</v>
      </c>
      <c r="B32" s="1"/>
      <c r="C32" s="1"/>
      <c r="D32" s="1"/>
      <c r="E32" s="8"/>
      <c r="F32" s="1"/>
    </row>
    <row r="33" spans="1:6" x14ac:dyDescent="0.3">
      <c r="A33" s="2" t="s">
        <v>36</v>
      </c>
      <c r="B33" s="1"/>
      <c r="C33" s="1"/>
      <c r="D33" s="1"/>
      <c r="E33" s="8"/>
      <c r="F33" s="1"/>
    </row>
    <row r="34" spans="1:6" x14ac:dyDescent="0.3">
      <c r="A34" s="2" t="s">
        <v>37</v>
      </c>
      <c r="B34" s="1"/>
      <c r="C34" s="1"/>
      <c r="D34" s="1"/>
      <c r="E34" s="8"/>
      <c r="F34" s="1"/>
    </row>
    <row r="35" spans="1:6" x14ac:dyDescent="0.3">
      <c r="A35" s="2" t="s">
        <v>38</v>
      </c>
      <c r="B35" s="1"/>
      <c r="C35" s="1"/>
      <c r="D35" s="1"/>
      <c r="E35" s="8"/>
      <c r="F35" s="1"/>
    </row>
    <row r="36" spans="1:6" x14ac:dyDescent="0.3">
      <c r="A36" s="2" t="s">
        <v>39</v>
      </c>
      <c r="B36" s="1"/>
      <c r="C36" s="1"/>
      <c r="D36" s="1"/>
      <c r="E36" s="8"/>
      <c r="F36" s="1"/>
    </row>
    <row r="37" spans="1:6" x14ac:dyDescent="0.3">
      <c r="A37" s="2" t="s">
        <v>40</v>
      </c>
      <c r="B37" s="1"/>
      <c r="C37" s="1"/>
      <c r="D37" s="1"/>
      <c r="E37" s="8"/>
      <c r="F37" s="1"/>
    </row>
    <row r="38" spans="1:6" x14ac:dyDescent="0.3">
      <c r="A38" s="2" t="s">
        <v>41</v>
      </c>
      <c r="B38" s="1"/>
      <c r="C38" s="1"/>
      <c r="D38" s="1"/>
      <c r="E38" s="8"/>
      <c r="F38" s="1"/>
    </row>
    <row r="39" spans="1:6" x14ac:dyDescent="0.3">
      <c r="A39" s="2" t="s">
        <v>42</v>
      </c>
      <c r="B39" s="1"/>
      <c r="C39" s="1"/>
      <c r="D39" s="1"/>
      <c r="E39" s="8"/>
      <c r="F39" s="1"/>
    </row>
    <row r="40" spans="1:6" x14ac:dyDescent="0.3">
      <c r="A40" s="2" t="s">
        <v>43</v>
      </c>
      <c r="B40" s="1"/>
      <c r="C40" s="1"/>
      <c r="D40" s="1"/>
      <c r="E40" s="8"/>
      <c r="F40" s="1"/>
    </row>
    <row r="41" spans="1:6" x14ac:dyDescent="0.3">
      <c r="A41" s="2" t="s">
        <v>44</v>
      </c>
      <c r="B41" s="1"/>
      <c r="C41" s="1"/>
      <c r="D41" s="1"/>
      <c r="E41" s="8"/>
      <c r="F41" s="1"/>
    </row>
    <row r="42" spans="1:6" x14ac:dyDescent="0.3">
      <c r="A42" s="2" t="s">
        <v>45</v>
      </c>
      <c r="B42" s="1"/>
      <c r="C42" s="1"/>
      <c r="D42" s="1"/>
      <c r="E42" s="8"/>
      <c r="F42" s="1"/>
    </row>
    <row r="43" spans="1:6" x14ac:dyDescent="0.3">
      <c r="A43" s="2" t="s">
        <v>46</v>
      </c>
      <c r="B43" s="1"/>
      <c r="C43" s="1"/>
      <c r="D43" s="1"/>
      <c r="E43" s="8"/>
      <c r="F43" s="1"/>
    </row>
    <row r="44" spans="1:6" x14ac:dyDescent="0.3">
      <c r="A44" s="2" t="s">
        <v>47</v>
      </c>
      <c r="B44" s="1"/>
      <c r="C44" s="1"/>
      <c r="D44" s="1"/>
      <c r="E44" s="8"/>
      <c r="F44" s="1"/>
    </row>
    <row r="45" spans="1:6" x14ac:dyDescent="0.3">
      <c r="A45" s="2" t="s">
        <v>48</v>
      </c>
      <c r="B45" s="1"/>
      <c r="C45" s="1"/>
      <c r="D45" s="1"/>
      <c r="E45" s="8"/>
      <c r="F45" s="1"/>
    </row>
    <row r="46" spans="1:6" x14ac:dyDescent="0.3">
      <c r="A46" s="2" t="s">
        <v>49</v>
      </c>
      <c r="B46" s="1"/>
      <c r="C46" s="1"/>
      <c r="D46" s="1"/>
      <c r="E46" s="8"/>
      <c r="F46" s="1"/>
    </row>
    <row r="47" spans="1:6" x14ac:dyDescent="0.3">
      <c r="A47" s="2" t="s">
        <v>50</v>
      </c>
      <c r="B47" s="1"/>
      <c r="C47" s="1"/>
      <c r="D47" s="1"/>
      <c r="E47" s="8"/>
      <c r="F47" s="1"/>
    </row>
    <row r="48" spans="1:6" x14ac:dyDescent="0.3">
      <c r="A48" s="2" t="s">
        <v>51</v>
      </c>
      <c r="B48" s="1"/>
      <c r="C48" s="1"/>
      <c r="D48" s="1"/>
      <c r="E48" s="8"/>
      <c r="F48" s="1"/>
    </row>
    <row r="49" spans="1:6" x14ac:dyDescent="0.3">
      <c r="A49" s="2" t="s">
        <v>52</v>
      </c>
      <c r="B49" s="1"/>
      <c r="C49" s="1"/>
      <c r="D49" s="1"/>
      <c r="E49" s="8"/>
      <c r="F49" s="1"/>
    </row>
    <row r="50" spans="1:6" x14ac:dyDescent="0.3">
      <c r="A50" s="2" t="s">
        <v>53</v>
      </c>
      <c r="B50" s="1"/>
      <c r="C50" s="1"/>
      <c r="D50" s="1"/>
      <c r="E50" s="8"/>
      <c r="F50" s="1"/>
    </row>
    <row r="51" spans="1:6" x14ac:dyDescent="0.3">
      <c r="A51" s="2" t="s">
        <v>54</v>
      </c>
      <c r="B51" s="1"/>
      <c r="C51" s="1"/>
      <c r="D51" s="1"/>
      <c r="E51" s="8"/>
      <c r="F51" s="1"/>
    </row>
    <row r="52" spans="1:6" x14ac:dyDescent="0.3">
      <c r="A52" s="2" t="s">
        <v>55</v>
      </c>
      <c r="B52" s="1"/>
      <c r="C52" s="1"/>
      <c r="D52" s="1"/>
      <c r="E52" s="8"/>
      <c r="F52" s="1"/>
    </row>
    <row r="53" spans="1:6" x14ac:dyDescent="0.3">
      <c r="A53" s="2" t="s">
        <v>56</v>
      </c>
      <c r="B53" s="1"/>
      <c r="C53" s="1"/>
      <c r="D53" s="1"/>
      <c r="E53" s="8"/>
      <c r="F53" s="1"/>
    </row>
    <row r="54" spans="1:6" x14ac:dyDescent="0.3">
      <c r="A54" s="2" t="s">
        <v>57</v>
      </c>
      <c r="B54" s="1"/>
      <c r="C54" s="1"/>
      <c r="D54" s="1"/>
      <c r="E54" s="8"/>
      <c r="F54" s="1"/>
    </row>
    <row r="55" spans="1:6" x14ac:dyDescent="0.3">
      <c r="A55" s="2" t="s">
        <v>58</v>
      </c>
      <c r="B55" s="1"/>
      <c r="C55" s="1"/>
      <c r="D55" s="1"/>
      <c r="E55" s="8"/>
      <c r="F55" s="1"/>
    </row>
    <row r="56" spans="1:6" x14ac:dyDescent="0.3">
      <c r="A56" s="2" t="s">
        <v>59</v>
      </c>
      <c r="B56" s="1"/>
      <c r="C56" s="1"/>
      <c r="D56" s="1"/>
      <c r="E56" s="8"/>
      <c r="F56" s="1"/>
    </row>
    <row r="57" spans="1:6" x14ac:dyDescent="0.3">
      <c r="A57" s="2" t="s">
        <v>60</v>
      </c>
      <c r="B57" s="1"/>
      <c r="C57" s="1"/>
      <c r="D57" s="1"/>
      <c r="E57" s="8"/>
      <c r="F57" s="1"/>
    </row>
    <row r="58" spans="1:6" x14ac:dyDescent="0.3">
      <c r="A58" s="2" t="s">
        <v>61</v>
      </c>
      <c r="B58" s="1"/>
      <c r="C58" s="1"/>
      <c r="D58" s="1"/>
      <c r="E58" s="8"/>
      <c r="F58" s="1"/>
    </row>
    <row r="59" spans="1:6" x14ac:dyDescent="0.3">
      <c r="A59" s="2" t="s">
        <v>62</v>
      </c>
      <c r="B59" s="1"/>
      <c r="C59" s="1"/>
      <c r="D59" s="1"/>
      <c r="E59" s="8"/>
      <c r="F59" s="1"/>
    </row>
    <row r="60" spans="1:6" x14ac:dyDescent="0.3">
      <c r="A60" s="2" t="s">
        <v>63</v>
      </c>
      <c r="B60" s="1"/>
      <c r="C60" s="1"/>
      <c r="D60" s="1"/>
      <c r="E60" s="8"/>
      <c r="F60" s="1"/>
    </row>
    <row r="61" spans="1:6" x14ac:dyDescent="0.3">
      <c r="A61" s="2" t="s">
        <v>64</v>
      </c>
      <c r="B61" s="1"/>
      <c r="C61" s="1"/>
      <c r="D61" s="1"/>
      <c r="E61" s="8"/>
      <c r="F61" s="1"/>
    </row>
    <row r="62" spans="1:6" x14ac:dyDescent="0.3">
      <c r="A62" s="2" t="s">
        <v>65</v>
      </c>
      <c r="B62" s="1"/>
      <c r="C62" s="1"/>
      <c r="D62" s="1"/>
      <c r="E62" s="8"/>
      <c r="F62" s="1"/>
    </row>
    <row r="63" spans="1:6" x14ac:dyDescent="0.3">
      <c r="A63" s="2" t="s">
        <v>66</v>
      </c>
      <c r="B63" s="1"/>
      <c r="C63" s="1"/>
      <c r="D63" s="1"/>
      <c r="E63" s="8"/>
      <c r="F63" s="1"/>
    </row>
    <row r="64" spans="1:6" x14ac:dyDescent="0.3">
      <c r="A64" s="2" t="s">
        <v>67</v>
      </c>
      <c r="B64" s="1"/>
      <c r="C64" s="1"/>
      <c r="D64" s="1"/>
      <c r="E64" s="8"/>
      <c r="F64" s="1"/>
    </row>
    <row r="65" spans="1:6" x14ac:dyDescent="0.3">
      <c r="A65" s="2" t="s">
        <v>68</v>
      </c>
      <c r="B65" s="1"/>
      <c r="C65" s="1"/>
      <c r="D65" s="1"/>
      <c r="E65" s="8"/>
      <c r="F65" s="1"/>
    </row>
    <row r="66" spans="1:6" x14ac:dyDescent="0.3">
      <c r="A66" s="2" t="s">
        <v>69</v>
      </c>
      <c r="B66" s="1"/>
      <c r="C66" s="1"/>
      <c r="D66" s="1"/>
      <c r="E66" s="8"/>
      <c r="F66" s="1"/>
    </row>
    <row r="67" spans="1:6" x14ac:dyDescent="0.3">
      <c r="A67" s="2" t="s">
        <v>70</v>
      </c>
      <c r="B67" s="1"/>
      <c r="C67" s="1"/>
      <c r="D67" s="1"/>
      <c r="E67" s="8"/>
      <c r="F67" s="1"/>
    </row>
    <row r="68" spans="1:6" x14ac:dyDescent="0.3">
      <c r="A68" s="2" t="s">
        <v>71</v>
      </c>
      <c r="B68" s="1"/>
      <c r="C68" s="1"/>
      <c r="D68" s="1"/>
      <c r="E68" s="8"/>
      <c r="F68" s="1"/>
    </row>
    <row r="69" spans="1:6" x14ac:dyDescent="0.3">
      <c r="A69" s="2" t="s">
        <v>72</v>
      </c>
      <c r="B69" s="1"/>
      <c r="C69" s="1"/>
      <c r="D69" s="1"/>
      <c r="E69" s="8"/>
      <c r="F69" s="1"/>
    </row>
    <row r="70" spans="1:6" x14ac:dyDescent="0.3">
      <c r="A70" s="2" t="s">
        <v>73</v>
      </c>
      <c r="B70" s="1"/>
      <c r="C70" s="1"/>
      <c r="D70" s="1"/>
      <c r="E70" s="8"/>
      <c r="F70" s="1"/>
    </row>
    <row r="71" spans="1:6" x14ac:dyDescent="0.3">
      <c r="A71" s="2" t="s">
        <v>74</v>
      </c>
      <c r="B71" s="1"/>
      <c r="C71" s="1"/>
      <c r="D71" s="1"/>
      <c r="E71" s="8"/>
      <c r="F71" s="1"/>
    </row>
    <row r="72" spans="1:6" x14ac:dyDescent="0.3">
      <c r="A72" s="2" t="s">
        <v>75</v>
      </c>
      <c r="B72" s="1"/>
      <c r="C72" s="1"/>
      <c r="D72" s="1"/>
      <c r="E72" s="8"/>
      <c r="F72" s="1"/>
    </row>
    <row r="73" spans="1:6" x14ac:dyDescent="0.3">
      <c r="A73" s="2" t="s">
        <v>76</v>
      </c>
      <c r="B73" s="1"/>
      <c r="C73" s="1"/>
      <c r="D73" s="1"/>
      <c r="E73" s="8"/>
      <c r="F73" s="1"/>
    </row>
    <row r="74" spans="1:6" x14ac:dyDescent="0.3">
      <c r="A74" s="2" t="s">
        <v>77</v>
      </c>
      <c r="B74" s="1"/>
      <c r="C74" s="1"/>
      <c r="D74" s="1"/>
      <c r="E74" s="8"/>
      <c r="F74" s="1"/>
    </row>
    <row r="75" spans="1:6" x14ac:dyDescent="0.3">
      <c r="A75" s="2" t="s">
        <v>78</v>
      </c>
      <c r="B75" s="1"/>
      <c r="C75" s="1"/>
      <c r="D75" s="1"/>
      <c r="E75" s="8"/>
      <c r="F75" s="1"/>
    </row>
    <row r="76" spans="1:6" x14ac:dyDescent="0.3">
      <c r="A76" s="2" t="s">
        <v>79</v>
      </c>
      <c r="B76" s="1"/>
      <c r="C76" s="1"/>
      <c r="D76" s="1"/>
      <c r="E76" s="8"/>
      <c r="F76" s="1"/>
    </row>
    <row r="77" spans="1:6" x14ac:dyDescent="0.3">
      <c r="A77" s="2" t="s">
        <v>80</v>
      </c>
      <c r="B77" s="1"/>
      <c r="C77" s="1"/>
      <c r="D77" s="1"/>
      <c r="E77" s="8"/>
      <c r="F77" s="1"/>
    </row>
    <row r="78" spans="1:6" x14ac:dyDescent="0.3">
      <c r="A78" s="2" t="s">
        <v>81</v>
      </c>
      <c r="B78" s="1"/>
      <c r="C78" s="1"/>
      <c r="D78" s="1"/>
      <c r="E78" s="8"/>
      <c r="F78" s="1"/>
    </row>
    <row r="79" spans="1:6" x14ac:dyDescent="0.3">
      <c r="A79" s="2" t="s">
        <v>82</v>
      </c>
      <c r="B79" s="1"/>
      <c r="C79" s="1"/>
      <c r="D79" s="1"/>
      <c r="E79" s="8"/>
      <c r="F79" s="1"/>
    </row>
    <row r="80" spans="1:6" x14ac:dyDescent="0.3">
      <c r="A80" s="2" t="s">
        <v>83</v>
      </c>
      <c r="B80" s="1"/>
      <c r="C80" s="1"/>
      <c r="D80" s="1"/>
      <c r="E80" s="8"/>
      <c r="F80" s="1"/>
    </row>
    <row r="81" spans="1:6" x14ac:dyDescent="0.3">
      <c r="A81" s="2" t="s">
        <v>84</v>
      </c>
      <c r="B81" s="1"/>
      <c r="C81" s="1"/>
      <c r="D81" s="1"/>
      <c r="E81" s="8"/>
      <c r="F81" s="1"/>
    </row>
    <row r="82" spans="1:6" x14ac:dyDescent="0.3">
      <c r="A82" s="2" t="s">
        <v>85</v>
      </c>
      <c r="B82" s="1"/>
      <c r="C82" s="1"/>
      <c r="D82" s="1"/>
      <c r="E82" s="8"/>
      <c r="F82" s="1"/>
    </row>
    <row r="83" spans="1:6" x14ac:dyDescent="0.3">
      <c r="A83" s="2" t="s">
        <v>86</v>
      </c>
      <c r="B83" s="1"/>
      <c r="C83" s="1"/>
      <c r="D83" s="1"/>
      <c r="E83" s="8"/>
      <c r="F83" s="1"/>
    </row>
    <row r="84" spans="1:6" x14ac:dyDescent="0.3">
      <c r="A84" s="2" t="s">
        <v>87</v>
      </c>
      <c r="B84" s="1"/>
      <c r="C84" s="1"/>
      <c r="D84" s="1"/>
      <c r="E84" s="8"/>
      <c r="F84" s="1"/>
    </row>
    <row r="85" spans="1:6" x14ac:dyDescent="0.3">
      <c r="A85" s="2" t="s">
        <v>88</v>
      </c>
      <c r="B85" s="1"/>
      <c r="C85" s="1"/>
      <c r="D85" s="1"/>
      <c r="E85" s="8"/>
      <c r="F85" s="1"/>
    </row>
    <row r="86" spans="1:6" x14ac:dyDescent="0.3">
      <c r="A86" s="2" t="s">
        <v>89</v>
      </c>
      <c r="B86" s="1"/>
      <c r="C86" s="1"/>
      <c r="D86" s="1"/>
      <c r="E86" s="8"/>
      <c r="F86" s="1"/>
    </row>
    <row r="87" spans="1:6" x14ac:dyDescent="0.3">
      <c r="A87" s="2" t="s">
        <v>90</v>
      </c>
      <c r="B87" s="1"/>
      <c r="C87" s="1"/>
      <c r="D87" s="1"/>
      <c r="E87" s="8"/>
      <c r="F87" s="1"/>
    </row>
    <row r="88" spans="1:6" x14ac:dyDescent="0.3">
      <c r="A88" s="2" t="s">
        <v>91</v>
      </c>
      <c r="B88" s="1"/>
      <c r="C88" s="1"/>
      <c r="D88" s="1"/>
      <c r="E88" s="8"/>
      <c r="F88" s="1"/>
    </row>
    <row r="89" spans="1:6" x14ac:dyDescent="0.3">
      <c r="A89" s="2" t="s">
        <v>92</v>
      </c>
      <c r="B89" s="1"/>
      <c r="C89" s="1"/>
      <c r="D89" s="1"/>
      <c r="E89" s="8"/>
      <c r="F89" s="1"/>
    </row>
    <row r="90" spans="1:6" x14ac:dyDescent="0.3">
      <c r="A90" s="2" t="s">
        <v>93</v>
      </c>
      <c r="B90" s="1"/>
      <c r="C90" s="1"/>
      <c r="D90" s="1"/>
      <c r="E90" s="8"/>
      <c r="F90" s="1"/>
    </row>
    <row r="91" spans="1:6" x14ac:dyDescent="0.3">
      <c r="A91" s="2" t="s">
        <v>94</v>
      </c>
      <c r="B91" s="1"/>
      <c r="C91" s="1"/>
      <c r="D91" s="1"/>
      <c r="E91" s="8"/>
      <c r="F91" s="1"/>
    </row>
    <row r="92" spans="1:6" x14ac:dyDescent="0.3">
      <c r="A92" s="2" t="s">
        <v>95</v>
      </c>
      <c r="B92" s="1"/>
      <c r="C92" s="1"/>
      <c r="D92" s="1"/>
      <c r="E92" s="8"/>
      <c r="F92" s="1"/>
    </row>
    <row r="93" spans="1:6" x14ac:dyDescent="0.3">
      <c r="A93" s="2" t="s">
        <v>96</v>
      </c>
      <c r="B93" s="1"/>
      <c r="C93" s="1"/>
      <c r="D93" s="1"/>
      <c r="E93" s="8"/>
      <c r="F93" s="1"/>
    </row>
    <row r="94" spans="1:6" x14ac:dyDescent="0.3">
      <c r="A94" s="2" t="s">
        <v>97</v>
      </c>
      <c r="B94" s="1"/>
      <c r="C94" s="1"/>
      <c r="D94" s="1"/>
      <c r="E94" s="8"/>
      <c r="F94" s="1"/>
    </row>
    <row r="95" spans="1:6" x14ac:dyDescent="0.3">
      <c r="A95" s="2" t="s">
        <v>98</v>
      </c>
      <c r="B95" s="1"/>
      <c r="C95" s="1"/>
      <c r="D95" s="1"/>
      <c r="E95" s="8"/>
      <c r="F95" s="1"/>
    </row>
    <row r="96" spans="1:6" x14ac:dyDescent="0.3">
      <c r="A96" s="2" t="s">
        <v>99</v>
      </c>
      <c r="B96" s="1"/>
      <c r="C96" s="1"/>
      <c r="D96" s="1"/>
      <c r="E96" s="8"/>
      <c r="F96" s="1"/>
    </row>
    <row r="97" spans="1:6" x14ac:dyDescent="0.3">
      <c r="A97" s="2" t="s">
        <v>100</v>
      </c>
      <c r="B97" s="1"/>
      <c r="C97" s="1"/>
      <c r="D97" s="1"/>
      <c r="E97" s="8"/>
      <c r="F97" s="1"/>
    </row>
    <row r="98" spans="1:6" x14ac:dyDescent="0.3">
      <c r="A98" s="2" t="s">
        <v>101</v>
      </c>
      <c r="B98" s="1"/>
      <c r="C98" s="1"/>
      <c r="D98" s="1"/>
      <c r="E98" s="8"/>
      <c r="F98" s="1"/>
    </row>
    <row r="99" spans="1:6" x14ac:dyDescent="0.3">
      <c r="A99" s="2" t="s">
        <v>102</v>
      </c>
      <c r="B99" s="1"/>
      <c r="C99" s="1"/>
      <c r="D99" s="1"/>
      <c r="E99" s="8"/>
      <c r="F99" s="1"/>
    </row>
    <row r="100" spans="1:6" x14ac:dyDescent="0.3">
      <c r="A100" s="2" t="s">
        <v>103</v>
      </c>
      <c r="B100" s="1"/>
      <c r="C100" s="1"/>
      <c r="D100" s="1"/>
      <c r="E100" s="8"/>
      <c r="F100" s="1"/>
    </row>
    <row r="101" spans="1:6" x14ac:dyDescent="0.3">
      <c r="A101" s="2" t="s">
        <v>104</v>
      </c>
      <c r="B101" s="1"/>
      <c r="C101" s="1"/>
      <c r="D101" s="1"/>
      <c r="E101" s="8"/>
      <c r="F101" s="1"/>
    </row>
    <row r="102" spans="1:6" x14ac:dyDescent="0.3">
      <c r="A102" s="2" t="s">
        <v>105</v>
      </c>
      <c r="B102" s="1"/>
      <c r="C102" s="1"/>
      <c r="D102" s="1"/>
      <c r="E102" s="8"/>
      <c r="F102" s="1"/>
    </row>
    <row r="103" spans="1:6" x14ac:dyDescent="0.3">
      <c r="A103" s="2" t="s">
        <v>106</v>
      </c>
      <c r="B103" s="1"/>
      <c r="C103" s="1"/>
      <c r="D103" s="1"/>
      <c r="E103" s="8"/>
      <c r="F103" s="1"/>
    </row>
    <row r="104" spans="1:6" x14ac:dyDescent="0.3">
      <c r="A104" s="2" t="s">
        <v>107</v>
      </c>
      <c r="B104" s="1"/>
      <c r="C104" s="1"/>
      <c r="D104" s="1"/>
      <c r="E104" s="8"/>
      <c r="F104" s="1"/>
    </row>
    <row r="105" spans="1:6" x14ac:dyDescent="0.3">
      <c r="A105" s="2" t="s">
        <v>108</v>
      </c>
      <c r="B105" s="1"/>
      <c r="C105" s="1"/>
      <c r="D105" s="1"/>
      <c r="E105" s="8"/>
      <c r="F105" s="1"/>
    </row>
    <row r="106" spans="1:6" x14ac:dyDescent="0.3">
      <c r="A106" s="2" t="s">
        <v>109</v>
      </c>
      <c r="B106" s="1"/>
      <c r="C106" s="1"/>
      <c r="D106" s="1"/>
      <c r="E106" s="8"/>
      <c r="F106" s="1"/>
    </row>
    <row r="107" spans="1:6" x14ac:dyDescent="0.3">
      <c r="A107" s="2" t="s">
        <v>110</v>
      </c>
      <c r="B107" s="1"/>
      <c r="C107" s="1"/>
      <c r="D107" s="1"/>
      <c r="E107" s="8"/>
      <c r="F107" s="1"/>
    </row>
    <row r="108" spans="1:6" x14ac:dyDescent="0.3">
      <c r="A108" s="2" t="s">
        <v>111</v>
      </c>
      <c r="B108" s="1"/>
      <c r="C108" s="1"/>
      <c r="D108" s="1"/>
      <c r="E108" s="8"/>
      <c r="F108" s="1"/>
    </row>
    <row r="109" spans="1:6" x14ac:dyDescent="0.3">
      <c r="A109" s="2" t="s">
        <v>112</v>
      </c>
      <c r="B109" s="1"/>
      <c r="C109" s="1"/>
      <c r="D109" s="1"/>
      <c r="E109" s="8"/>
      <c r="F109" s="1"/>
    </row>
    <row r="110" spans="1:6" x14ac:dyDescent="0.3">
      <c r="A110" s="2" t="s">
        <v>113</v>
      </c>
      <c r="B110" s="1"/>
      <c r="C110" s="1"/>
      <c r="D110" s="1"/>
      <c r="E110" s="8"/>
      <c r="F110" s="1"/>
    </row>
    <row r="111" spans="1:6" x14ac:dyDescent="0.3">
      <c r="A111" s="2" t="s">
        <v>114</v>
      </c>
      <c r="B111" s="1"/>
      <c r="C111" s="1"/>
      <c r="D111" s="1"/>
      <c r="E111" s="8"/>
      <c r="F111" s="1"/>
    </row>
    <row r="112" spans="1:6" x14ac:dyDescent="0.3">
      <c r="A112" s="2" t="s">
        <v>115</v>
      </c>
      <c r="B112" s="1"/>
      <c r="C112" s="1"/>
      <c r="D112" s="1"/>
      <c r="E112" s="8"/>
      <c r="F112" s="1"/>
    </row>
    <row r="113" spans="1:6" x14ac:dyDescent="0.3">
      <c r="A113" s="2" t="s">
        <v>116</v>
      </c>
      <c r="B113" s="1"/>
      <c r="C113" s="1"/>
      <c r="D113" s="1"/>
      <c r="E113" s="8"/>
      <c r="F113" s="1"/>
    </row>
    <row r="114" spans="1:6" x14ac:dyDescent="0.3">
      <c r="A114" s="2" t="s">
        <v>117</v>
      </c>
      <c r="B114" s="1"/>
      <c r="C114" s="1"/>
      <c r="D114" s="1"/>
      <c r="E114" s="8"/>
      <c r="F114" s="1"/>
    </row>
    <row r="115" spans="1:6" x14ac:dyDescent="0.3">
      <c r="A115" s="2" t="s">
        <v>118</v>
      </c>
      <c r="B115" s="1"/>
      <c r="C115" s="1"/>
      <c r="D115" s="1"/>
      <c r="E115" s="8"/>
      <c r="F115" s="1"/>
    </row>
    <row r="116" spans="1:6" x14ac:dyDescent="0.3">
      <c r="A116" s="2" t="s">
        <v>119</v>
      </c>
      <c r="B116" s="1"/>
      <c r="C116" s="1"/>
      <c r="D116" s="1"/>
      <c r="E116" s="8"/>
      <c r="F116" s="1"/>
    </row>
    <row r="117" spans="1:6" x14ac:dyDescent="0.3">
      <c r="A117" s="2" t="s">
        <v>120</v>
      </c>
      <c r="B117" s="1"/>
      <c r="C117" s="1"/>
      <c r="D117" s="1"/>
      <c r="E117" s="8"/>
      <c r="F117" s="1"/>
    </row>
    <row r="118" spans="1:6" x14ac:dyDescent="0.3">
      <c r="A118" s="2" t="s">
        <v>121</v>
      </c>
      <c r="B118" s="1"/>
      <c r="C118" s="1"/>
      <c r="D118" s="1"/>
      <c r="E118" s="8"/>
      <c r="F118" s="1"/>
    </row>
    <row r="119" spans="1:6" x14ac:dyDescent="0.3">
      <c r="A119" s="2" t="s">
        <v>122</v>
      </c>
      <c r="B119" s="1"/>
      <c r="C119" s="1"/>
      <c r="D119" s="1"/>
      <c r="E119" s="8"/>
      <c r="F119" s="1"/>
    </row>
    <row r="120" spans="1:6" x14ac:dyDescent="0.3">
      <c r="A120" s="2" t="s">
        <v>123</v>
      </c>
      <c r="B120" s="1"/>
      <c r="C120" s="1"/>
      <c r="D120" s="1"/>
      <c r="E120" s="8"/>
      <c r="F120" s="1"/>
    </row>
    <row r="121" spans="1:6" x14ac:dyDescent="0.3">
      <c r="A121" s="2" t="s">
        <v>124</v>
      </c>
      <c r="B121" s="1"/>
      <c r="C121" s="1"/>
      <c r="D121" s="1"/>
      <c r="E121" s="8"/>
      <c r="F121" s="1"/>
    </row>
    <row r="122" spans="1:6" x14ac:dyDescent="0.3">
      <c r="A122" s="2" t="s">
        <v>125</v>
      </c>
      <c r="B122" s="1"/>
      <c r="C122" s="1"/>
      <c r="D122" s="1"/>
      <c r="E122" s="8"/>
      <c r="F122" s="1"/>
    </row>
    <row r="123" spans="1:6" x14ac:dyDescent="0.3">
      <c r="A123" s="2" t="s">
        <v>126</v>
      </c>
      <c r="B123" s="1"/>
      <c r="C123" s="1"/>
      <c r="D123" s="1"/>
      <c r="E123" s="8"/>
      <c r="F123" s="1"/>
    </row>
    <row r="124" spans="1:6" x14ac:dyDescent="0.3">
      <c r="A124" s="2" t="s">
        <v>127</v>
      </c>
      <c r="B124" s="1"/>
      <c r="C124" s="1"/>
      <c r="D124" s="1"/>
      <c r="E124" s="8"/>
      <c r="F124" s="1"/>
    </row>
    <row r="125" spans="1:6" x14ac:dyDescent="0.3">
      <c r="A125" s="2" t="s">
        <v>128</v>
      </c>
      <c r="B125" s="1"/>
      <c r="C125" s="1"/>
      <c r="D125" s="1"/>
      <c r="E125" s="8"/>
      <c r="F125" s="1"/>
    </row>
    <row r="126" spans="1:6" x14ac:dyDescent="0.3">
      <c r="A126" s="2" t="s">
        <v>129</v>
      </c>
      <c r="B126" s="1"/>
      <c r="C126" s="1"/>
      <c r="D126" s="1"/>
      <c r="E126" s="8"/>
      <c r="F126" s="1"/>
    </row>
    <row r="127" spans="1:6" x14ac:dyDescent="0.3">
      <c r="A127" s="2" t="s">
        <v>130</v>
      </c>
      <c r="B127" s="1"/>
      <c r="C127" s="1"/>
      <c r="D127" s="1"/>
      <c r="E127" s="8"/>
      <c r="F127" s="1"/>
    </row>
    <row r="128" spans="1:6" x14ac:dyDescent="0.3">
      <c r="A128" s="2" t="s">
        <v>131</v>
      </c>
      <c r="B128" s="1"/>
      <c r="C128" s="1"/>
      <c r="D128" s="1"/>
      <c r="E128" s="8"/>
      <c r="F128" s="1"/>
    </row>
    <row r="129" spans="1:6" x14ac:dyDescent="0.3">
      <c r="A129" s="2" t="s">
        <v>132</v>
      </c>
      <c r="B129" s="1"/>
      <c r="C129" s="1"/>
      <c r="D129" s="1"/>
      <c r="E129" s="8"/>
      <c r="F129" s="1"/>
    </row>
    <row r="130" spans="1:6" x14ac:dyDescent="0.3">
      <c r="A130" s="2" t="s">
        <v>133</v>
      </c>
      <c r="B130" s="1"/>
      <c r="C130" s="1"/>
      <c r="D130" s="1"/>
      <c r="E130" s="8"/>
      <c r="F130" s="1"/>
    </row>
    <row r="131" spans="1:6" x14ac:dyDescent="0.3">
      <c r="A131" s="2" t="s">
        <v>134</v>
      </c>
      <c r="B131" s="1"/>
      <c r="C131" s="1"/>
      <c r="D131" s="1"/>
      <c r="E131" s="8"/>
      <c r="F131" s="1"/>
    </row>
    <row r="132" spans="1:6" x14ac:dyDescent="0.3">
      <c r="A132" s="2" t="s">
        <v>135</v>
      </c>
      <c r="B132" s="1"/>
      <c r="C132" s="1"/>
      <c r="D132" s="1"/>
      <c r="E132" s="8"/>
      <c r="F132" s="1"/>
    </row>
    <row r="133" spans="1:6" x14ac:dyDescent="0.3">
      <c r="A133" s="2" t="s">
        <v>136</v>
      </c>
      <c r="B133" s="1"/>
      <c r="C133" s="1"/>
      <c r="D133" s="1"/>
      <c r="E133" s="8"/>
      <c r="F133" s="1"/>
    </row>
    <row r="134" spans="1:6" x14ac:dyDescent="0.3">
      <c r="A134" s="2" t="s">
        <v>137</v>
      </c>
      <c r="B134" s="1"/>
      <c r="C134" s="1"/>
      <c r="D134" s="1"/>
      <c r="E134" s="8"/>
      <c r="F134" s="1"/>
    </row>
    <row r="135" spans="1:6" x14ac:dyDescent="0.3">
      <c r="A135" s="2" t="s">
        <v>138</v>
      </c>
      <c r="B135" s="1"/>
      <c r="C135" s="1"/>
      <c r="D135" s="1"/>
      <c r="E135" s="8"/>
      <c r="F135" s="1"/>
    </row>
    <row r="136" spans="1:6" x14ac:dyDescent="0.3">
      <c r="A136" s="2" t="s">
        <v>139</v>
      </c>
      <c r="B136" s="1"/>
      <c r="C136" s="1"/>
      <c r="D136" s="1"/>
      <c r="E136" s="8"/>
      <c r="F136" s="1"/>
    </row>
    <row r="137" spans="1:6" x14ac:dyDescent="0.3">
      <c r="A137" s="2" t="s">
        <v>140</v>
      </c>
      <c r="B137" s="1"/>
      <c r="C137" s="1"/>
      <c r="D137" s="1"/>
      <c r="E137" s="8"/>
      <c r="F137" s="1"/>
    </row>
    <row r="138" spans="1:6" x14ac:dyDescent="0.3">
      <c r="A138" s="2" t="s">
        <v>141</v>
      </c>
      <c r="B138" s="1"/>
      <c r="C138" s="1"/>
      <c r="D138" s="1"/>
      <c r="E138" s="8"/>
      <c r="F138" s="1"/>
    </row>
    <row r="139" spans="1:6" x14ac:dyDescent="0.3">
      <c r="A139" s="2" t="s">
        <v>142</v>
      </c>
      <c r="B139" s="1"/>
      <c r="C139" s="1"/>
      <c r="D139" s="1"/>
      <c r="E139" s="8"/>
      <c r="F139" s="1"/>
    </row>
    <row r="140" spans="1:6" x14ac:dyDescent="0.3">
      <c r="A140" s="2" t="s">
        <v>143</v>
      </c>
      <c r="B140" s="1"/>
      <c r="C140" s="1"/>
      <c r="D140" s="1"/>
      <c r="E140" s="8"/>
      <c r="F140" s="1"/>
    </row>
    <row r="141" spans="1:6" x14ac:dyDescent="0.3">
      <c r="A141" s="2" t="s">
        <v>144</v>
      </c>
      <c r="B141" s="1"/>
      <c r="C141" s="1"/>
      <c r="D141" s="1"/>
      <c r="E141" s="8"/>
      <c r="F141" s="1"/>
    </row>
    <row r="142" spans="1:6" x14ac:dyDescent="0.3">
      <c r="A142" s="2" t="s">
        <v>145</v>
      </c>
      <c r="B142" s="1"/>
      <c r="C142" s="1"/>
      <c r="D142" s="1"/>
      <c r="E142" s="8"/>
      <c r="F142" s="1"/>
    </row>
    <row r="143" spans="1:6" x14ac:dyDescent="0.3">
      <c r="A143" s="2" t="s">
        <v>146</v>
      </c>
      <c r="B143" s="1"/>
      <c r="C143" s="1"/>
      <c r="D143" s="1"/>
      <c r="E143" s="8"/>
      <c r="F143" s="1"/>
    </row>
    <row r="144" spans="1:6" x14ac:dyDescent="0.3">
      <c r="A144" s="2" t="s">
        <v>147</v>
      </c>
      <c r="B144" s="1"/>
      <c r="C144" s="1"/>
      <c r="D144" s="1"/>
      <c r="E144" s="8"/>
      <c r="F144" s="1"/>
    </row>
    <row r="145" spans="1:6" x14ac:dyDescent="0.3">
      <c r="A145" s="2" t="s">
        <v>148</v>
      </c>
      <c r="B145" s="1"/>
      <c r="C145" s="1"/>
      <c r="D145" s="1"/>
      <c r="E145" s="8"/>
      <c r="F145" s="1"/>
    </row>
    <row r="146" spans="1:6" x14ac:dyDescent="0.3">
      <c r="A146" s="2" t="s">
        <v>149</v>
      </c>
      <c r="B146" s="1"/>
      <c r="C146" s="1"/>
      <c r="D146" s="1"/>
      <c r="E146" s="8"/>
      <c r="F146" s="1"/>
    </row>
    <row r="147" spans="1:6" x14ac:dyDescent="0.3">
      <c r="A147" s="2" t="s">
        <v>150</v>
      </c>
      <c r="B147" s="1"/>
      <c r="C147" s="1"/>
      <c r="D147" s="1"/>
      <c r="E147" s="8"/>
      <c r="F147" s="1"/>
    </row>
    <row r="148" spans="1:6" x14ac:dyDescent="0.3">
      <c r="A148" s="2" t="s">
        <v>151</v>
      </c>
      <c r="B148" s="1"/>
      <c r="C148" s="1"/>
      <c r="D148" s="1"/>
      <c r="E148" s="8"/>
      <c r="F148" s="1"/>
    </row>
    <row r="149" spans="1:6" x14ac:dyDescent="0.3">
      <c r="A149" s="2" t="s">
        <v>152</v>
      </c>
      <c r="B149" s="1"/>
      <c r="C149" s="1"/>
      <c r="D149" s="1"/>
      <c r="E149" s="8"/>
      <c r="F149" s="1"/>
    </row>
    <row r="150" spans="1:6" x14ac:dyDescent="0.3">
      <c r="A150" s="2" t="s">
        <v>153</v>
      </c>
      <c r="B150" s="1"/>
      <c r="C150" s="1"/>
      <c r="D150" s="1"/>
      <c r="E150" s="8"/>
      <c r="F150" s="1"/>
    </row>
    <row r="151" spans="1:6" x14ac:dyDescent="0.3">
      <c r="A151" s="2" t="s">
        <v>154</v>
      </c>
      <c r="B151" s="1"/>
      <c r="C151" s="1"/>
      <c r="D151" s="1"/>
      <c r="E151" s="8"/>
      <c r="F151" s="1"/>
    </row>
    <row r="152" spans="1:6" x14ac:dyDescent="0.3">
      <c r="A152" s="2" t="s">
        <v>155</v>
      </c>
      <c r="B152" s="1"/>
      <c r="C152" s="1"/>
      <c r="D152" s="1"/>
      <c r="E152" s="8"/>
      <c r="F152" s="1"/>
    </row>
    <row r="153" spans="1:6" x14ac:dyDescent="0.3">
      <c r="A153" s="2" t="s">
        <v>156</v>
      </c>
      <c r="B153" s="1"/>
      <c r="C153" s="1"/>
      <c r="D153" s="1"/>
      <c r="E153" s="8"/>
      <c r="F153" s="1"/>
    </row>
    <row r="154" spans="1:6" x14ac:dyDescent="0.3">
      <c r="A154" s="2" t="s">
        <v>157</v>
      </c>
      <c r="B154" s="1"/>
      <c r="C154" s="1"/>
      <c r="D154" s="1"/>
      <c r="E154" s="8"/>
      <c r="F154" s="1"/>
    </row>
    <row r="155" spans="1:6" x14ac:dyDescent="0.3">
      <c r="A155" s="2" t="s">
        <v>158</v>
      </c>
      <c r="B155" s="1"/>
      <c r="C155" s="1"/>
      <c r="D155" s="1"/>
      <c r="E155" s="8"/>
      <c r="F155" s="1"/>
    </row>
    <row r="156" spans="1:6" x14ac:dyDescent="0.3">
      <c r="A156" s="2" t="s">
        <v>159</v>
      </c>
      <c r="B156" s="1"/>
      <c r="C156" s="1"/>
      <c r="D156" s="1"/>
      <c r="E156" s="8"/>
      <c r="F156" s="1"/>
    </row>
    <row r="157" spans="1:6" x14ac:dyDescent="0.3">
      <c r="A157" s="2" t="s">
        <v>160</v>
      </c>
      <c r="B157" s="1"/>
      <c r="C157" s="1"/>
      <c r="D157" s="1"/>
      <c r="E157" s="8"/>
      <c r="F157" s="1"/>
    </row>
    <row r="158" spans="1:6" x14ac:dyDescent="0.3">
      <c r="A158" s="2" t="s">
        <v>161</v>
      </c>
      <c r="B158" s="1"/>
      <c r="C158" s="1"/>
      <c r="D158" s="1"/>
      <c r="E158" s="8"/>
      <c r="F158" s="1"/>
    </row>
    <row r="159" spans="1:6" x14ac:dyDescent="0.3">
      <c r="A159" s="2" t="s">
        <v>162</v>
      </c>
      <c r="B159" s="1"/>
      <c r="C159" s="1"/>
      <c r="D159" s="1"/>
      <c r="E159" s="8"/>
      <c r="F159" s="1"/>
    </row>
    <row r="160" spans="1:6" x14ac:dyDescent="0.3">
      <c r="A160" s="2" t="s">
        <v>163</v>
      </c>
      <c r="B160" s="1"/>
      <c r="C160" s="1"/>
      <c r="D160" s="1"/>
      <c r="E160" s="8"/>
      <c r="F160" s="1"/>
    </row>
    <row r="161" spans="1:6" x14ac:dyDescent="0.3">
      <c r="A161" s="2" t="s">
        <v>164</v>
      </c>
      <c r="B161" s="1"/>
      <c r="C161" s="1"/>
      <c r="D161" s="1"/>
      <c r="E161" s="8"/>
      <c r="F161" s="1"/>
    </row>
    <row r="162" spans="1:6" x14ac:dyDescent="0.3">
      <c r="A162" s="2" t="s">
        <v>165</v>
      </c>
      <c r="B162" s="1"/>
      <c r="C162" s="1"/>
      <c r="D162" s="1"/>
      <c r="E162" s="8"/>
      <c r="F162" s="1"/>
    </row>
    <row r="163" spans="1:6" x14ac:dyDescent="0.3">
      <c r="A163" s="2" t="s">
        <v>166</v>
      </c>
      <c r="B163" s="1"/>
      <c r="C163" s="1"/>
      <c r="D163" s="1"/>
      <c r="E163" s="8"/>
      <c r="F163" s="1"/>
    </row>
    <row r="164" spans="1:6" x14ac:dyDescent="0.3">
      <c r="A164" s="2" t="s">
        <v>167</v>
      </c>
      <c r="B164" s="1"/>
      <c r="C164" s="1"/>
      <c r="D164" s="1"/>
      <c r="E164" s="8"/>
      <c r="F164" s="1"/>
    </row>
    <row r="165" spans="1:6" x14ac:dyDescent="0.3">
      <c r="A165" s="2" t="s">
        <v>168</v>
      </c>
      <c r="B165" s="1"/>
      <c r="C165" s="1"/>
      <c r="D165" s="1"/>
      <c r="E165" s="8"/>
      <c r="F165" s="1"/>
    </row>
    <row r="166" spans="1:6" x14ac:dyDescent="0.3">
      <c r="A166" s="2" t="s">
        <v>169</v>
      </c>
      <c r="B166" s="1"/>
      <c r="C166" s="1"/>
      <c r="D166" s="1"/>
      <c r="E166" s="8"/>
      <c r="F166" s="1"/>
    </row>
    <row r="167" spans="1:6" x14ac:dyDescent="0.3">
      <c r="A167" s="2" t="s">
        <v>170</v>
      </c>
      <c r="B167" s="1"/>
      <c r="C167" s="1"/>
      <c r="D167" s="1"/>
      <c r="E167" s="8"/>
      <c r="F167" s="1"/>
    </row>
    <row r="168" spans="1:6" x14ac:dyDescent="0.3">
      <c r="A168" s="2" t="s">
        <v>171</v>
      </c>
      <c r="B168" s="1"/>
      <c r="C168" s="1"/>
      <c r="D168" s="1"/>
      <c r="E168" s="8"/>
      <c r="F168" s="1"/>
    </row>
    <row r="169" spans="1:6" x14ac:dyDescent="0.3">
      <c r="A169" s="2" t="s">
        <v>172</v>
      </c>
      <c r="B169" s="1"/>
      <c r="C169" s="1"/>
      <c r="D169" s="1"/>
      <c r="E169" s="8"/>
      <c r="F169" s="1"/>
    </row>
    <row r="170" spans="1:6" x14ac:dyDescent="0.3">
      <c r="A170" s="2" t="s">
        <v>173</v>
      </c>
      <c r="B170" s="1"/>
      <c r="C170" s="1"/>
      <c r="D170" s="1"/>
      <c r="E170" s="8"/>
      <c r="F170" s="1"/>
    </row>
    <row r="171" spans="1:6" x14ac:dyDescent="0.3">
      <c r="A171" s="2" t="s">
        <v>174</v>
      </c>
      <c r="B171" s="1"/>
      <c r="C171" s="1"/>
      <c r="D171" s="1"/>
      <c r="E171" s="8"/>
      <c r="F171" s="1"/>
    </row>
    <row r="172" spans="1:6" x14ac:dyDescent="0.3">
      <c r="A172" s="2" t="s">
        <v>175</v>
      </c>
      <c r="B172" s="1"/>
      <c r="C172" s="1"/>
      <c r="D172" s="1"/>
      <c r="E172" s="8"/>
      <c r="F172" s="1"/>
    </row>
    <row r="173" spans="1:6" x14ac:dyDescent="0.3">
      <c r="A173" s="2" t="s">
        <v>176</v>
      </c>
      <c r="B173" s="1"/>
      <c r="C173" s="1"/>
      <c r="D173" s="1"/>
      <c r="E173" s="8"/>
      <c r="F173" s="1"/>
    </row>
    <row r="174" spans="1:6" x14ac:dyDescent="0.3">
      <c r="A174" s="2" t="s">
        <v>177</v>
      </c>
      <c r="B174" s="1"/>
      <c r="C174" s="1"/>
      <c r="D174" s="1"/>
      <c r="E174" s="8"/>
      <c r="F174" s="1"/>
    </row>
    <row r="175" spans="1:6" x14ac:dyDescent="0.3">
      <c r="A175" s="2" t="s">
        <v>178</v>
      </c>
      <c r="B175" s="1"/>
      <c r="C175" s="1"/>
      <c r="D175" s="1"/>
      <c r="E175" s="8"/>
      <c r="F175" s="1"/>
    </row>
    <row r="176" spans="1:6" x14ac:dyDescent="0.3">
      <c r="A176" s="2" t="s">
        <v>179</v>
      </c>
      <c r="B176" s="1"/>
      <c r="C176" s="1"/>
      <c r="D176" s="1"/>
      <c r="E176" s="8"/>
      <c r="F176" s="1"/>
    </row>
    <row r="177" spans="1:6" x14ac:dyDescent="0.3">
      <c r="A177" s="2" t="s">
        <v>180</v>
      </c>
      <c r="B177" s="1"/>
      <c r="C177" s="1"/>
      <c r="D177" s="1"/>
      <c r="E177" s="8"/>
      <c r="F177" s="1"/>
    </row>
    <row r="178" spans="1:6" x14ac:dyDescent="0.3">
      <c r="A178" s="2" t="s">
        <v>181</v>
      </c>
      <c r="B178" s="1"/>
      <c r="C178" s="1"/>
      <c r="D178" s="1"/>
      <c r="E178" s="8"/>
      <c r="F178" s="1"/>
    </row>
    <row r="179" spans="1:6" x14ac:dyDescent="0.3">
      <c r="A179" s="2" t="s">
        <v>182</v>
      </c>
      <c r="B179" s="1"/>
      <c r="C179" s="1"/>
      <c r="D179" s="1"/>
      <c r="E179" s="8"/>
      <c r="F179" s="1"/>
    </row>
    <row r="180" spans="1:6" x14ac:dyDescent="0.3">
      <c r="A180" s="2" t="s">
        <v>183</v>
      </c>
      <c r="B180" s="1"/>
      <c r="C180" s="1"/>
      <c r="D180" s="1"/>
      <c r="E180" s="8"/>
      <c r="F180" s="1"/>
    </row>
    <row r="181" spans="1:6" x14ac:dyDescent="0.3">
      <c r="A181" s="2" t="s">
        <v>184</v>
      </c>
      <c r="B181" s="1"/>
      <c r="C181" s="1"/>
      <c r="D181" s="1"/>
      <c r="E181" s="8"/>
      <c r="F181" s="1"/>
    </row>
    <row r="182" spans="1:6" x14ac:dyDescent="0.3">
      <c r="A182" s="2" t="s">
        <v>185</v>
      </c>
      <c r="B182" s="1"/>
      <c r="C182" s="1"/>
      <c r="D182" s="1"/>
      <c r="E182" s="8"/>
      <c r="F182" s="1"/>
    </row>
    <row r="183" spans="1:6" x14ac:dyDescent="0.3">
      <c r="A183" s="2" t="s">
        <v>186</v>
      </c>
      <c r="B183" s="1"/>
      <c r="C183" s="1"/>
      <c r="D183" s="1"/>
      <c r="E183" s="8"/>
      <c r="F183" s="1"/>
    </row>
    <row r="184" spans="1:6" x14ac:dyDescent="0.3">
      <c r="A184" s="2" t="s">
        <v>187</v>
      </c>
      <c r="B184" s="1"/>
      <c r="C184" s="1"/>
      <c r="D184" s="1"/>
      <c r="E184" s="8"/>
      <c r="F184" s="1"/>
    </row>
    <row r="185" spans="1:6" x14ac:dyDescent="0.3">
      <c r="A185" s="2" t="s">
        <v>188</v>
      </c>
      <c r="B185" s="1"/>
      <c r="C185" s="1"/>
      <c r="D185" s="1"/>
      <c r="E185" s="8"/>
      <c r="F185" s="1"/>
    </row>
    <row r="186" spans="1:6" x14ac:dyDescent="0.3">
      <c r="A186" s="2" t="s">
        <v>189</v>
      </c>
      <c r="B186" s="1"/>
      <c r="C186" s="1"/>
      <c r="D186" s="1"/>
      <c r="E186" s="8"/>
      <c r="F186" s="1"/>
    </row>
    <row r="187" spans="1:6" x14ac:dyDescent="0.3">
      <c r="A187" s="2" t="s">
        <v>190</v>
      </c>
      <c r="B187" s="1"/>
      <c r="C187" s="1"/>
      <c r="D187" s="1"/>
      <c r="E187" s="8"/>
      <c r="F187" s="1"/>
    </row>
    <row r="188" spans="1:6" x14ac:dyDescent="0.3">
      <c r="A188" s="2" t="s">
        <v>191</v>
      </c>
      <c r="B188" s="1"/>
      <c r="C188" s="1"/>
      <c r="D188" s="1"/>
      <c r="E188" s="8"/>
      <c r="F188" s="1"/>
    </row>
    <row r="189" spans="1:6" x14ac:dyDescent="0.3">
      <c r="A189" s="2" t="s">
        <v>192</v>
      </c>
      <c r="B189" s="1"/>
      <c r="C189" s="1"/>
      <c r="D189" s="1"/>
      <c r="E189" s="8"/>
      <c r="F189" s="1"/>
    </row>
    <row r="190" spans="1:6" x14ac:dyDescent="0.3">
      <c r="A190" s="2" t="s">
        <v>193</v>
      </c>
      <c r="B190" s="1"/>
      <c r="C190" s="1"/>
      <c r="D190" s="1"/>
      <c r="E190" s="8"/>
      <c r="F190" s="1"/>
    </row>
    <row r="191" spans="1:6" x14ac:dyDescent="0.3">
      <c r="A191" s="2" t="s">
        <v>194</v>
      </c>
      <c r="B191" s="1"/>
      <c r="C191" s="1"/>
      <c r="D191" s="1"/>
      <c r="E191" s="8"/>
      <c r="F191" s="1"/>
    </row>
    <row r="192" spans="1:6" x14ac:dyDescent="0.3">
      <c r="A192" s="2" t="s">
        <v>195</v>
      </c>
      <c r="B192" s="1"/>
      <c r="C192" s="1"/>
      <c r="D192" s="1"/>
      <c r="E192" s="8"/>
      <c r="F192" s="1"/>
    </row>
    <row r="193" spans="1:6" x14ac:dyDescent="0.3">
      <c r="A193" s="2" t="s">
        <v>196</v>
      </c>
      <c r="B193" s="1"/>
      <c r="C193" s="1"/>
      <c r="D193" s="1"/>
      <c r="E193" s="8"/>
      <c r="F193" s="1"/>
    </row>
    <row r="194" spans="1:6" x14ac:dyDescent="0.3">
      <c r="A194" s="2" t="s">
        <v>197</v>
      </c>
      <c r="B194" s="1"/>
      <c r="C194" s="1"/>
      <c r="D194" s="1"/>
      <c r="E194" s="8"/>
      <c r="F194" s="1"/>
    </row>
    <row r="195" spans="1:6" x14ac:dyDescent="0.3">
      <c r="A195" s="2" t="s">
        <v>198</v>
      </c>
      <c r="B195" s="1"/>
      <c r="C195" s="1"/>
      <c r="D195" s="1"/>
      <c r="E195" s="8"/>
      <c r="F195" s="1"/>
    </row>
    <row r="196" spans="1:6" x14ac:dyDescent="0.3">
      <c r="A196" s="2" t="s">
        <v>199</v>
      </c>
      <c r="B196" s="1"/>
      <c r="C196" s="1"/>
      <c r="D196" s="1"/>
      <c r="E196" s="8"/>
      <c r="F196" s="1"/>
    </row>
    <row r="197" spans="1:6" x14ac:dyDescent="0.3">
      <c r="A197" s="2" t="s">
        <v>200</v>
      </c>
      <c r="B197" s="1"/>
      <c r="C197" s="1"/>
      <c r="D197" s="1"/>
      <c r="E197" s="8"/>
      <c r="F197" s="1"/>
    </row>
    <row r="198" spans="1:6" x14ac:dyDescent="0.3">
      <c r="A198" s="2" t="s">
        <v>201</v>
      </c>
      <c r="B198" s="1"/>
      <c r="C198" s="1"/>
      <c r="D198" s="1"/>
      <c r="E198" s="8"/>
      <c r="F198" s="1"/>
    </row>
    <row r="199" spans="1:6" x14ac:dyDescent="0.3">
      <c r="A199" s="2" t="s">
        <v>202</v>
      </c>
      <c r="B199" s="1"/>
      <c r="C199" s="1"/>
      <c r="D199" s="1"/>
      <c r="E199" s="8"/>
      <c r="F199" s="1"/>
    </row>
    <row r="200" spans="1:6" x14ac:dyDescent="0.3">
      <c r="A200" s="2" t="s">
        <v>203</v>
      </c>
      <c r="B200" s="1"/>
      <c r="C200" s="1"/>
      <c r="D200" s="1"/>
      <c r="E200" s="8"/>
      <c r="F200" s="1"/>
    </row>
    <row r="201" spans="1:6" x14ac:dyDescent="0.3">
      <c r="A201" s="6" t="s">
        <v>204</v>
      </c>
      <c r="B201" s="7"/>
      <c r="C201" s="7"/>
      <c r="D201" s="7"/>
      <c r="E201" s="9"/>
      <c r="F201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(4)</vt:lpstr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</dc:creator>
  <cp:lastModifiedBy>Triveni Singh</cp:lastModifiedBy>
  <dcterms:created xsi:type="dcterms:W3CDTF">2015-06-05T18:17:20Z</dcterms:created>
  <dcterms:modified xsi:type="dcterms:W3CDTF">2026-01-26T12:18:58Z</dcterms:modified>
</cp:coreProperties>
</file>
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795E646C-202D-4E23-8D20-F3CDD43DD0A1}" xr6:coauthVersionLast="47" xr6:coauthVersionMax="47" xr10:uidLastSave="{00000000-0000-0000-0000-000000000000}"/>
  <bookViews>
    <workbookView xWindow="-108" yWindow="-108" windowWidth="23256" windowHeight="13896" xr2:uid="{BD72DBF2-0106-41E3-8FA8-2636BDF2B29C}"/>
  </bookViews>
  <sheets>
    <sheet name="Sheet1" sheetId="1" r:id="rId1"/>
    <sheet name="Sheet2" sheetId="2" r:id="rId2"/>
  </sheets>
  <definedNames>
    <definedName name="Completion_Date">Sheet1!$E$1:$E$22</definedName>
    <definedName name="Department">Sheet1!$C$1:$C$22</definedName>
    <definedName name="Score">Sheet1!$F$2:$F$22</definedName>
    <definedName name="Training_Program">Sheet1!$D$1:$D$22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L12" i="1"/>
  <c r="L11" i="1"/>
  <c r="L7" i="1"/>
  <c r="L8" i="1"/>
  <c r="L5" i="1"/>
</calcChain>
</file>

<file path=xl/sharedStrings.xml><?xml version="1.0" encoding="utf-8"?>
<sst xmlns="http://schemas.openxmlformats.org/spreadsheetml/2006/main" count="231" uniqueCount="87">
  <si>
    <t>Employee ID</t>
  </si>
  <si>
    <t>Name</t>
  </si>
  <si>
    <t>Department</t>
  </si>
  <si>
    <t>Training Program</t>
  </si>
  <si>
    <t>Completion Date</t>
  </si>
  <si>
    <t>Score</t>
  </si>
  <si>
    <t>E001</t>
  </si>
  <si>
    <t>Ananya Rao</t>
  </si>
  <si>
    <t>HR</t>
  </si>
  <si>
    <t>Excel Basics</t>
  </si>
  <si>
    <t>E002</t>
  </si>
  <si>
    <t>Rohan Singh</t>
  </si>
  <si>
    <t>Finance</t>
  </si>
  <si>
    <t>Power BI Fundamentals</t>
  </si>
  <si>
    <t>E003</t>
  </si>
  <si>
    <t>Meera Das</t>
  </si>
  <si>
    <t>IT</t>
  </si>
  <si>
    <t>Advanced Excel</t>
  </si>
  <si>
    <t>E004</t>
  </si>
  <si>
    <t>Arjun Mehta</t>
  </si>
  <si>
    <t>Marketing</t>
  </si>
  <si>
    <t>Presentation Skills</t>
  </si>
  <si>
    <t>E005</t>
  </si>
  <si>
    <t>Kavita Jain</t>
  </si>
  <si>
    <t>E006</t>
  </si>
  <si>
    <t>Vivek Nair</t>
  </si>
  <si>
    <t>Power Query Workshop</t>
  </si>
  <si>
    <t>E007</t>
  </si>
  <si>
    <t>Priya Verma</t>
  </si>
  <si>
    <t>Communication Skills</t>
  </si>
  <si>
    <t>E008</t>
  </si>
  <si>
    <t>Dev Sharma</t>
  </si>
  <si>
    <t>E009</t>
  </si>
  <si>
    <t>Sneha Gupta</t>
  </si>
  <si>
    <t>E010</t>
  </si>
  <si>
    <t>Raj Malhotra</t>
  </si>
  <si>
    <t>E011</t>
  </si>
  <si>
    <t>Neha Kapoor</t>
  </si>
  <si>
    <t>E012</t>
  </si>
  <si>
    <t>Amit Bansal</t>
  </si>
  <si>
    <t>E013</t>
  </si>
  <si>
    <t>Shreya Iyer</t>
  </si>
  <si>
    <t>E014</t>
  </si>
  <si>
    <t>Karan Thakur</t>
  </si>
  <si>
    <t>E015</t>
  </si>
  <si>
    <t>Pooja Mishra</t>
  </si>
  <si>
    <t>E016</t>
  </si>
  <si>
    <t>Sahil Arora</t>
  </si>
  <si>
    <t>E017</t>
  </si>
  <si>
    <t>Divya Menon</t>
  </si>
  <si>
    <t>E018</t>
  </si>
  <si>
    <t>Manish Gupta</t>
  </si>
  <si>
    <t>E019</t>
  </si>
  <si>
    <t>Ritika Sharma</t>
  </si>
  <si>
    <t>E020</t>
  </si>
  <si>
    <t>Aditya Verma</t>
  </si>
  <si>
    <t>E100</t>
  </si>
  <si>
    <t>Varun Sethi</t>
  </si>
  <si>
    <t xml:space="preserve">Department </t>
  </si>
  <si>
    <t>E021</t>
  </si>
  <si>
    <t>Alok Sharma</t>
  </si>
  <si>
    <t>E022</t>
  </si>
  <si>
    <t>Sunita Mehta</t>
  </si>
  <si>
    <t>E023</t>
  </si>
  <si>
    <t>Rajeev Nair</t>
  </si>
  <si>
    <t>E024</t>
  </si>
  <si>
    <t>Geeta Kapoor</t>
  </si>
  <si>
    <t>E025</t>
  </si>
  <si>
    <t>Deepak Joshi</t>
  </si>
  <si>
    <t>E026</t>
  </si>
  <si>
    <t>Meenal Arora</t>
  </si>
  <si>
    <t>E027</t>
  </si>
  <si>
    <t>Arvind Kumar</t>
  </si>
  <si>
    <t>E028</t>
  </si>
  <si>
    <t>Shalini Gupta</t>
  </si>
  <si>
    <t>E029</t>
  </si>
  <si>
    <t>Suresh Rathi</t>
  </si>
  <si>
    <t>E030</t>
  </si>
  <si>
    <t>Nikita Jain</t>
  </si>
  <si>
    <t>Completion_Date</t>
  </si>
  <si>
    <t>=Sheet1!$E$1:$E$22</t>
  </si>
  <si>
    <t>=Sheet1!$C$1:$C$22</t>
  </si>
  <si>
    <t>=Sheet1!$F$2:$F$22</t>
  </si>
  <si>
    <t>Training_Program</t>
  </si>
  <si>
    <t>=Sheet1!$D$1:$D$22</t>
  </si>
  <si>
    <t>By Pressing F3</t>
  </si>
  <si>
    <t xml:space="preserve"> Show all the Range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</si>
</sst>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3"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1BC0-B596-4CF6-AC27-1AA3EEB9E3B1}">
  <dimension ref="A1:L26"/>
  <sheetViews>
    <sheetView tabSelected="1" workbookViewId="0">
      <selection activeCell="J21" sqref="J21"/>
    </sheetView>
  </sheetViews>
  <sheetFormatPr defaultRowHeight="14.4" x14ac:dyDescent="0.3"/>
  <cols>
    <col min="1" max="1" width="10.5546875" customWidth="1"/>
    <col min="2" max="2" width="12" bestFit="1" customWidth="1"/>
    <col min="3" max="3" width="10.5546875" bestFit="1" customWidth="1"/>
    <col min="4" max="4" width="22.44140625" customWidth="1"/>
    <col min="5" max="5" width="17.33203125" customWidth="1"/>
    <col min="9" max="9" width="10.88671875" bestFit="1" customWidth="1"/>
    <col min="10" max="10" width="15.109375" bestFit="1" customWidth="1"/>
    <col min="11" max="11" width="1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s="1" t="s">
        <v>6</v>
      </c>
      <c r="B2" s="1" t="s">
        <v>7</v>
      </c>
      <c r="C2" s="1" t="s">
        <v>8</v>
      </c>
      <c r="D2" s="1" t="s">
        <v>9</v>
      </c>
      <c r="E2" s="2">
        <v>45306</v>
      </c>
      <c r="F2" s="1">
        <v>78</v>
      </c>
    </row>
    <row r="3" spans="1:12" x14ac:dyDescent="0.3">
      <c r="A3" s="1" t="s">
        <v>10</v>
      </c>
      <c r="B3" s="1" t="s">
        <v>11</v>
      </c>
      <c r="C3" s="1" t="s">
        <v>12</v>
      </c>
      <c r="D3" s="1" t="s">
        <v>13</v>
      </c>
      <c r="E3" s="2">
        <v>45332</v>
      </c>
      <c r="F3" s="1">
        <v>85</v>
      </c>
    </row>
    <row r="4" spans="1:12" x14ac:dyDescent="0.3">
      <c r="A4" s="1" t="s">
        <v>14</v>
      </c>
      <c r="B4" s="1" t="s">
        <v>15</v>
      </c>
      <c r="C4" s="1" t="s">
        <v>16</v>
      </c>
      <c r="D4" s="1" t="s">
        <v>17</v>
      </c>
      <c r="E4" s="2">
        <v>45356</v>
      </c>
      <c r="F4" s="1">
        <v>92</v>
      </c>
      <c r="I4" t="s">
        <v>58</v>
      </c>
      <c r="K4" t="s">
        <v>5</v>
      </c>
    </row>
    <row r="5" spans="1:12" x14ac:dyDescent="0.3">
      <c r="A5" s="1" t="s">
        <v>18</v>
      </c>
      <c r="B5" s="1" t="s">
        <v>19</v>
      </c>
      <c r="C5" s="1" t="s">
        <v>20</v>
      </c>
      <c r="D5" s="1" t="s">
        <v>21</v>
      </c>
      <c r="E5" s="2">
        <v>45311</v>
      </c>
      <c r="F5" s="1">
        <v>74</v>
      </c>
      <c r="I5" s="1" t="s">
        <v>20</v>
      </c>
      <c r="K5">
        <v>90</v>
      </c>
      <c r="L5" t="e">
        <f ca="1">_xlfn.FORMULATEXT(K5)</f>
        <v>#N/A</v>
      </c>
    </row>
    <row r="6" spans="1:12" x14ac:dyDescent="0.3">
      <c r="A6" s="1" t="s">
        <v>22</v>
      </c>
      <c r="B6" s="1" t="s">
        <v>23</v>
      </c>
      <c r="C6" s="1" t="s">
        <v>12</v>
      </c>
      <c r="D6" s="1" t="s">
        <v>9</v>
      </c>
      <c r="E6" s="2">
        <v>45340</v>
      </c>
      <c r="F6" s="1">
        <v>88</v>
      </c>
    </row>
    <row r="7" spans="1:12" x14ac:dyDescent="0.3">
      <c r="A7" s="1" t="s">
        <v>24</v>
      </c>
      <c r="B7" s="1" t="s">
        <v>25</v>
      </c>
      <c r="C7" s="1" t="s">
        <v>16</v>
      </c>
      <c r="D7" s="1" t="s">
        <v>26</v>
      </c>
      <c r="E7" s="2">
        <v>45363</v>
      </c>
      <c r="F7" s="1">
        <v>95</v>
      </c>
      <c r="L7">
        <f>SUM(F2:F22)</f>
        <v>1782</v>
      </c>
    </row>
    <row r="8" spans="1:12" x14ac:dyDescent="0.3">
      <c r="A8" s="1" t="s">
        <v>27</v>
      </c>
      <c r="B8" s="1" t="s">
        <v>28</v>
      </c>
      <c r="C8" s="1" t="s">
        <v>8</v>
      </c>
      <c r="D8" s="1" t="s">
        <v>29</v>
      </c>
      <c r="E8" s="2">
        <v>45316</v>
      </c>
      <c r="F8" s="1">
        <v>81</v>
      </c>
      <c r="L8" t="str">
        <f ca="1">_xlfn.FORMULATEXT(L7)</f>
        <v>=SUM(F2:F22)</v>
      </c>
    </row>
    <row r="9" spans="1:12" x14ac:dyDescent="0.3">
      <c r="A9" s="1" t="s">
        <v>30</v>
      </c>
      <c r="B9" s="1" t="s">
        <v>31</v>
      </c>
      <c r="C9" s="1" t="s">
        <v>20</v>
      </c>
      <c r="D9" s="1" t="s">
        <v>13</v>
      </c>
      <c r="E9" s="2">
        <v>45350</v>
      </c>
      <c r="F9" s="1">
        <v>79</v>
      </c>
    </row>
    <row r="10" spans="1:12" x14ac:dyDescent="0.3">
      <c r="A10" s="1" t="s">
        <v>32</v>
      </c>
      <c r="B10" s="1" t="s">
        <v>33</v>
      </c>
      <c r="C10" s="1" t="s">
        <v>12</v>
      </c>
      <c r="D10" s="1" t="s">
        <v>17</v>
      </c>
      <c r="E10" s="2">
        <v>45366</v>
      </c>
      <c r="F10" s="1">
        <v>90</v>
      </c>
    </row>
    <row r="11" spans="1:12" x14ac:dyDescent="0.3">
      <c r="A11" s="1" t="s">
        <v>34</v>
      </c>
      <c r="B11" s="1" t="s">
        <v>35</v>
      </c>
      <c r="C11" s="1" t="s">
        <v>16</v>
      </c>
      <c r="D11" s="1" t="s">
        <v>9</v>
      </c>
      <c r="E11" s="2">
        <v>45321</v>
      </c>
      <c r="F11" s="1">
        <v>83</v>
      </c>
      <c r="L11">
        <f>SUM(Score)</f>
        <v>1782</v>
      </c>
    </row>
    <row r="12" spans="1:12" x14ac:dyDescent="0.3">
      <c r="A12" s="1" t="s">
        <v>36</v>
      </c>
      <c r="B12" s="1" t="s">
        <v>37</v>
      </c>
      <c r="C12" s="1" t="s">
        <v>8</v>
      </c>
      <c r="D12" s="1" t="s">
        <v>13</v>
      </c>
      <c r="E12" s="2">
        <v>45327</v>
      </c>
      <c r="F12" s="1">
        <v>87</v>
      </c>
      <c r="L12">
        <f>AVERAGE(Score)</f>
        <v>84.857142857142861</v>
      </c>
    </row>
    <row r="13" spans="1:12" x14ac:dyDescent="0.3">
      <c r="A13" s="1" t="s">
        <v>38</v>
      </c>
      <c r="B13" s="1" t="s">
        <v>39</v>
      </c>
      <c r="C13" s="1" t="s">
        <v>12</v>
      </c>
      <c r="D13" s="1" t="s">
        <v>21</v>
      </c>
      <c r="E13" s="2">
        <v>45309</v>
      </c>
      <c r="F13" s="1">
        <v>72</v>
      </c>
    </row>
    <row r="14" spans="1:12" x14ac:dyDescent="0.3">
      <c r="A14" s="1" t="s">
        <v>40</v>
      </c>
      <c r="B14" s="1" t="s">
        <v>41</v>
      </c>
      <c r="C14" s="1" t="s">
        <v>16</v>
      </c>
      <c r="D14" s="1" t="s">
        <v>29</v>
      </c>
      <c r="E14" s="2">
        <v>45344</v>
      </c>
      <c r="F14" s="1">
        <v>80</v>
      </c>
    </row>
    <row r="15" spans="1:12" x14ac:dyDescent="0.3">
      <c r="A15" s="1" t="s">
        <v>42</v>
      </c>
      <c r="B15" s="1" t="s">
        <v>43</v>
      </c>
      <c r="C15" s="1" t="s">
        <v>20</v>
      </c>
      <c r="D15" s="1" t="s">
        <v>17</v>
      </c>
      <c r="E15" s="2">
        <v>45359</v>
      </c>
      <c r="F15" s="1">
        <v>91</v>
      </c>
    </row>
    <row r="16" spans="1:12" x14ac:dyDescent="0.3">
      <c r="A16" s="1" t="s">
        <v>44</v>
      </c>
      <c r="B16" s="1" t="s">
        <v>45</v>
      </c>
      <c r="C16" s="1" t="s">
        <v>12</v>
      </c>
      <c r="D16" s="1" t="s">
        <v>9</v>
      </c>
      <c r="E16" s="2">
        <v>45318</v>
      </c>
      <c r="F16" s="1">
        <v>76</v>
      </c>
    </row>
    <row r="17" spans="1:11" x14ac:dyDescent="0.3">
      <c r="A17" s="1" t="s">
        <v>46</v>
      </c>
      <c r="B17" s="1" t="s">
        <v>47</v>
      </c>
      <c r="C17" s="1" t="s">
        <v>16</v>
      </c>
      <c r="D17" s="1" t="s">
        <v>26</v>
      </c>
      <c r="E17" s="2">
        <v>45336</v>
      </c>
      <c r="F17" s="1">
        <v>94</v>
      </c>
    </row>
    <row r="18" spans="1:11" x14ac:dyDescent="0.3">
      <c r="A18" s="1" t="s">
        <v>48</v>
      </c>
      <c r="B18" s="1" t="s">
        <v>49</v>
      </c>
      <c r="C18" s="1" t="s">
        <v>8</v>
      </c>
      <c r="D18" s="1" t="s">
        <v>21</v>
      </c>
      <c r="E18" s="2">
        <v>45353</v>
      </c>
      <c r="F18" s="1">
        <v>77</v>
      </c>
    </row>
    <row r="19" spans="1:11" x14ac:dyDescent="0.3">
      <c r="A19" s="1" t="s">
        <v>50</v>
      </c>
      <c r="B19" s="1" t="s">
        <v>51</v>
      </c>
      <c r="C19" s="1" t="s">
        <v>20</v>
      </c>
      <c r="D19" s="1" t="s">
        <v>9</v>
      </c>
      <c r="E19" s="2">
        <v>45303</v>
      </c>
      <c r="F19" s="1">
        <v>82</v>
      </c>
    </row>
    <row r="20" spans="1:11" x14ac:dyDescent="0.3">
      <c r="A20" s="1" t="s">
        <v>52</v>
      </c>
      <c r="B20" s="1" t="s">
        <v>53</v>
      </c>
      <c r="C20" s="1" t="s">
        <v>12</v>
      </c>
      <c r="D20" s="1" t="s">
        <v>13</v>
      </c>
      <c r="E20" s="2">
        <v>45347</v>
      </c>
      <c r="F20" s="1">
        <v>89</v>
      </c>
    </row>
    <row r="21" spans="1:11" x14ac:dyDescent="0.3">
      <c r="A21" s="1" t="s">
        <v>54</v>
      </c>
      <c r="B21" s="1" t="s">
        <v>55</v>
      </c>
      <c r="C21" s="1" t="s">
        <v>16</v>
      </c>
      <c r="D21" s="1" t="s">
        <v>17</v>
      </c>
      <c r="E21" s="2">
        <v>45369</v>
      </c>
      <c r="F21" s="1">
        <v>93</v>
      </c>
      <c r="J21" s="3" t="s">
        <v>85</v>
      </c>
      <c r="K21" t="s">
        <v>86</v>
      </c>
    </row>
    <row r="22" spans="1:11" x14ac:dyDescent="0.3">
      <c r="A22" s="1" t="s">
        <v>56</v>
      </c>
      <c r="B22" s="1" t="s">
        <v>57</v>
      </c>
      <c r="C22" s="1" t="s">
        <v>12</v>
      </c>
      <c r="D22" s="1" t="s">
        <v>26</v>
      </c>
      <c r="E22" s="2">
        <v>45379</v>
      </c>
      <c r="F22" s="1">
        <v>96</v>
      </c>
    </row>
    <row r="23" spans="1:11" x14ac:dyDescent="0.3">
      <c r="J23" t="s">
        <v>79</v>
      </c>
      <c r="K23" t="s">
        <v>80</v>
      </c>
    </row>
    <row r="24" spans="1:11" x14ac:dyDescent="0.3">
      <c r="J24" t="s">
        <v>2</v>
      </c>
      <c r="K24" t="s">
        <v>81</v>
      </c>
    </row>
    <row r="25" spans="1:11" x14ac:dyDescent="0.3">
      <c r="J25" t="s">
        <v>5</v>
      </c>
      <c r="K25" t="s">
        <v>82</v>
      </c>
    </row>
    <row r="26" spans="1:11" x14ac:dyDescent="0.3">
      <c r="J26" t="s">
        <v>83</v>
      </c>
      <c r="K26" t="s">
        <v>84</v>
      </c>
    </row>
  </sheetData>
  <conditionalFormatting sqref="A1:F22">
    <cfRule type="expression" dxfId="2" priority="4">
      <formula>$C2=$I$5</formula>
    </cfRule>
  </conditionalFormatting>
  <conditionalFormatting sqref="I5">
    <cfRule type="expression" dxfId="1" priority="3">
      <formula>$C6=$I$5</formula>
    </cfRule>
  </conditionalFormatting>
  <conditionalFormatting sqref="F2:F22">
    <cfRule type="expression" dxfId="0" priority="1">
      <formula>$F2&gt;=$K$5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FD8-34CF-4118-8738-D7A10C555A6C}">
  <dimension ref="A1:I31"/>
  <sheetViews>
    <sheetView workbookViewId="0">
      <selection activeCell="K16" sqref="K16"/>
    </sheetView>
  </sheetViews>
  <sheetFormatPr defaultRowHeight="14.4" x14ac:dyDescent="0.3"/>
  <cols>
    <col min="1" max="1" width="9.109375" customWidth="1"/>
    <col min="2" max="2" width="15.6640625" customWidth="1"/>
    <col min="4" max="4" width="20" bestFit="1" customWidth="1"/>
    <col min="5" max="5" width="14.44140625" bestFit="1" customWidth="1"/>
    <col min="8" max="8" width="10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</row>
    <row r="2" spans="1:9" x14ac:dyDescent="0.3">
      <c r="A2" s="1" t="s">
        <v>6</v>
      </c>
      <c r="B2" s="1" t="s">
        <v>7</v>
      </c>
      <c r="C2" s="1" t="s">
        <v>8</v>
      </c>
      <c r="D2" s="1" t="s">
        <v>9</v>
      </c>
      <c r="E2" s="2">
        <v>45306</v>
      </c>
      <c r="F2" s="1">
        <v>78</v>
      </c>
      <c r="H2" s="1" t="s">
        <v>20</v>
      </c>
    </row>
    <row r="3" spans="1:9" x14ac:dyDescent="0.3">
      <c r="A3" s="1" t="s">
        <v>10</v>
      </c>
      <c r="B3" s="1" t="s">
        <v>11</v>
      </c>
      <c r="C3" s="1" t="s">
        <v>12</v>
      </c>
      <c r="D3" s="1" t="s">
        <v>13</v>
      </c>
      <c r="E3" s="2">
        <v>45332</v>
      </c>
      <c r="F3" s="1">
        <v>85</v>
      </c>
    </row>
    <row r="4" spans="1:9" x14ac:dyDescent="0.3">
      <c r="A4" s="1" t="s">
        <v>14</v>
      </c>
      <c r="B4" s="1" t="s">
        <v>15</v>
      </c>
      <c r="C4" s="1" t="s">
        <v>16</v>
      </c>
      <c r="D4" s="1" t="s">
        <v>17</v>
      </c>
      <c r="E4" s="2">
        <v>45356</v>
      </c>
      <c r="F4" s="1">
        <v>92</v>
      </c>
    </row>
    <row r="5" spans="1:9" x14ac:dyDescent="0.3">
      <c r="A5" s="1" t="s">
        <v>18</v>
      </c>
      <c r="B5" s="1" t="s">
        <v>19</v>
      </c>
      <c r="C5" s="1" t="s">
        <v>20</v>
      </c>
      <c r="D5" s="1" t="s">
        <v>21</v>
      </c>
      <c r="E5" s="2">
        <v>45311</v>
      </c>
      <c r="F5" s="1">
        <v>74</v>
      </c>
      <c r="I5">
        <f>DAVERAGE(A1:F31,"Score",H1:H2)</f>
        <v>81.166666666666671</v>
      </c>
    </row>
    <row r="6" spans="1:9" x14ac:dyDescent="0.3">
      <c r="A6" s="1" t="s">
        <v>22</v>
      </c>
      <c r="B6" s="1" t="s">
        <v>23</v>
      </c>
      <c r="C6" s="1" t="s">
        <v>12</v>
      </c>
      <c r="D6" s="1" t="s">
        <v>9</v>
      </c>
      <c r="E6" s="2">
        <v>45340</v>
      </c>
      <c r="F6" s="1">
        <v>88</v>
      </c>
    </row>
    <row r="7" spans="1:9" x14ac:dyDescent="0.3">
      <c r="A7" s="1" t="s">
        <v>24</v>
      </c>
      <c r="B7" s="1" t="s">
        <v>25</v>
      </c>
      <c r="C7" s="1" t="s">
        <v>16</v>
      </c>
      <c r="D7" s="1" t="s">
        <v>26</v>
      </c>
      <c r="E7" s="2">
        <v>45363</v>
      </c>
      <c r="F7" s="1">
        <v>95</v>
      </c>
    </row>
    <row r="8" spans="1:9" x14ac:dyDescent="0.3">
      <c r="A8" s="1" t="s">
        <v>27</v>
      </c>
      <c r="B8" s="1" t="s">
        <v>28</v>
      </c>
      <c r="C8" s="1" t="s">
        <v>8</v>
      </c>
      <c r="D8" s="1" t="s">
        <v>29</v>
      </c>
      <c r="E8" s="2">
        <v>45316</v>
      </c>
      <c r="F8" s="1">
        <v>81</v>
      </c>
    </row>
    <row r="9" spans="1:9" x14ac:dyDescent="0.3">
      <c r="A9" s="1" t="s">
        <v>30</v>
      </c>
      <c r="B9" s="1" t="s">
        <v>31</v>
      </c>
      <c r="C9" s="1" t="s">
        <v>20</v>
      </c>
      <c r="D9" s="1" t="s">
        <v>13</v>
      </c>
      <c r="E9" s="2">
        <v>45350</v>
      </c>
      <c r="F9" s="1">
        <v>79</v>
      </c>
    </row>
    <row r="10" spans="1:9" x14ac:dyDescent="0.3">
      <c r="A10" s="1" t="s">
        <v>32</v>
      </c>
      <c r="B10" s="1" t="s">
        <v>33</v>
      </c>
      <c r="C10" s="1" t="s">
        <v>12</v>
      </c>
      <c r="D10" s="1" t="s">
        <v>17</v>
      </c>
      <c r="E10" s="2">
        <v>45366</v>
      </c>
      <c r="F10" s="1">
        <v>90</v>
      </c>
    </row>
    <row r="11" spans="1:9" x14ac:dyDescent="0.3">
      <c r="A11" s="1" t="s">
        <v>34</v>
      </c>
      <c r="B11" s="1" t="s">
        <v>35</v>
      </c>
      <c r="C11" s="1" t="s">
        <v>16</v>
      </c>
      <c r="D11" s="1" t="s">
        <v>9</v>
      </c>
      <c r="E11" s="2">
        <v>45321</v>
      </c>
      <c r="F11" s="1">
        <v>83</v>
      </c>
    </row>
    <row r="12" spans="1:9" x14ac:dyDescent="0.3">
      <c r="A12" s="1" t="s">
        <v>36</v>
      </c>
      <c r="B12" s="1" t="s">
        <v>37</v>
      </c>
      <c r="C12" s="1" t="s">
        <v>8</v>
      </c>
      <c r="D12" s="1" t="s">
        <v>13</v>
      </c>
      <c r="E12" s="2">
        <v>45327</v>
      </c>
      <c r="F12" s="1">
        <v>87</v>
      </c>
    </row>
    <row r="13" spans="1:9" x14ac:dyDescent="0.3">
      <c r="A13" s="1" t="s">
        <v>38</v>
      </c>
      <c r="B13" s="1" t="s">
        <v>39</v>
      </c>
      <c r="C13" s="1" t="s">
        <v>12</v>
      </c>
      <c r="D13" s="1" t="s">
        <v>21</v>
      </c>
      <c r="E13" s="2">
        <v>45309</v>
      </c>
      <c r="F13" s="1">
        <v>72</v>
      </c>
    </row>
    <row r="14" spans="1:9" x14ac:dyDescent="0.3">
      <c r="A14" s="1" t="s">
        <v>40</v>
      </c>
      <c r="B14" s="1" t="s">
        <v>41</v>
      </c>
      <c r="C14" s="1" t="s">
        <v>16</v>
      </c>
      <c r="D14" s="1" t="s">
        <v>29</v>
      </c>
      <c r="E14" s="2">
        <v>45344</v>
      </c>
      <c r="F14" s="1">
        <v>80</v>
      </c>
    </row>
    <row r="15" spans="1:9" x14ac:dyDescent="0.3">
      <c r="A15" s="1" t="s">
        <v>42</v>
      </c>
      <c r="B15" s="1" t="s">
        <v>43</v>
      </c>
      <c r="C15" s="1" t="s">
        <v>20</v>
      </c>
      <c r="D15" s="1" t="s">
        <v>17</v>
      </c>
      <c r="E15" s="2">
        <v>45359</v>
      </c>
      <c r="F15" s="1">
        <v>91</v>
      </c>
    </row>
    <row r="16" spans="1:9" x14ac:dyDescent="0.3">
      <c r="A16" s="1" t="s">
        <v>44</v>
      </c>
      <c r="B16" s="1" t="s">
        <v>45</v>
      </c>
      <c r="C16" s="1" t="s">
        <v>12</v>
      </c>
      <c r="D16" s="1" t="s">
        <v>9</v>
      </c>
      <c r="E16" s="2">
        <v>45318</v>
      </c>
      <c r="F16" s="1">
        <v>76</v>
      </c>
    </row>
    <row r="17" spans="1:6" x14ac:dyDescent="0.3">
      <c r="A17" s="1" t="s">
        <v>46</v>
      </c>
      <c r="B17" s="1" t="s">
        <v>47</v>
      </c>
      <c r="C17" s="1" t="s">
        <v>16</v>
      </c>
      <c r="D17" s="1" t="s">
        <v>26</v>
      </c>
      <c r="E17" s="2">
        <v>45336</v>
      </c>
      <c r="F17" s="1">
        <v>94</v>
      </c>
    </row>
    <row r="18" spans="1:6" x14ac:dyDescent="0.3">
      <c r="A18" s="1" t="s">
        <v>48</v>
      </c>
      <c r="B18" s="1" t="s">
        <v>49</v>
      </c>
      <c r="C18" s="1" t="s">
        <v>8</v>
      </c>
      <c r="D18" s="1" t="s">
        <v>21</v>
      </c>
      <c r="E18" s="2">
        <v>45353</v>
      </c>
      <c r="F18" s="1">
        <v>77</v>
      </c>
    </row>
    <row r="19" spans="1:6" x14ac:dyDescent="0.3">
      <c r="A19" s="1" t="s">
        <v>50</v>
      </c>
      <c r="B19" s="1" t="s">
        <v>51</v>
      </c>
      <c r="C19" s="1" t="s">
        <v>20</v>
      </c>
      <c r="D19" s="1" t="s">
        <v>9</v>
      </c>
      <c r="E19" s="2">
        <v>45303</v>
      </c>
      <c r="F19" s="1">
        <v>82</v>
      </c>
    </row>
    <row r="20" spans="1:6" x14ac:dyDescent="0.3">
      <c r="A20" s="1" t="s">
        <v>52</v>
      </c>
      <c r="B20" s="1" t="s">
        <v>53</v>
      </c>
      <c r="C20" s="1" t="s">
        <v>12</v>
      </c>
      <c r="D20" s="1" t="s">
        <v>13</v>
      </c>
      <c r="E20" s="2">
        <v>45347</v>
      </c>
      <c r="F20" s="1">
        <v>89</v>
      </c>
    </row>
    <row r="21" spans="1:6" x14ac:dyDescent="0.3">
      <c r="A21" s="1" t="s">
        <v>54</v>
      </c>
      <c r="B21" s="1" t="s">
        <v>55</v>
      </c>
      <c r="C21" s="1" t="s">
        <v>16</v>
      </c>
      <c r="D21" s="1" t="s">
        <v>17</v>
      </c>
      <c r="E21" s="2">
        <v>45369</v>
      </c>
      <c r="F21" s="1">
        <v>93</v>
      </c>
    </row>
    <row r="22" spans="1:6" x14ac:dyDescent="0.3">
      <c r="A22" s="1" t="s">
        <v>59</v>
      </c>
      <c r="B22" s="1" t="s">
        <v>60</v>
      </c>
      <c r="C22" s="1" t="s">
        <v>8</v>
      </c>
      <c r="D22" s="1" t="s">
        <v>9</v>
      </c>
      <c r="E22" s="2">
        <v>45324</v>
      </c>
      <c r="F22" s="1">
        <v>82</v>
      </c>
    </row>
    <row r="23" spans="1:6" x14ac:dyDescent="0.3">
      <c r="A23" s="1" t="s">
        <v>61</v>
      </c>
      <c r="B23" s="1" t="s">
        <v>62</v>
      </c>
      <c r="C23" s="1" t="s">
        <v>12</v>
      </c>
      <c r="D23" s="1" t="s">
        <v>13</v>
      </c>
      <c r="E23" s="2">
        <v>45358</v>
      </c>
      <c r="F23" s="1">
        <v>88</v>
      </c>
    </row>
    <row r="24" spans="1:6" x14ac:dyDescent="0.3">
      <c r="A24" s="1" t="s">
        <v>63</v>
      </c>
      <c r="B24" s="1" t="s">
        <v>64</v>
      </c>
      <c r="C24" s="1" t="s">
        <v>16</v>
      </c>
      <c r="D24" s="1" t="s">
        <v>17</v>
      </c>
      <c r="E24" s="2">
        <v>45319</v>
      </c>
      <c r="F24" s="1">
        <v>91</v>
      </c>
    </row>
    <row r="25" spans="1:6" x14ac:dyDescent="0.3">
      <c r="A25" s="1" t="s">
        <v>65</v>
      </c>
      <c r="B25" s="1" t="s">
        <v>66</v>
      </c>
      <c r="C25" s="1" t="s">
        <v>20</v>
      </c>
      <c r="D25" s="1" t="s">
        <v>21</v>
      </c>
      <c r="E25" s="2">
        <v>45337</v>
      </c>
      <c r="F25" s="1">
        <v>75</v>
      </c>
    </row>
    <row r="26" spans="1:6" x14ac:dyDescent="0.3">
      <c r="A26" s="1" t="s">
        <v>67</v>
      </c>
      <c r="B26" s="1" t="s">
        <v>68</v>
      </c>
      <c r="C26" s="1" t="s">
        <v>12</v>
      </c>
      <c r="D26" s="1" t="s">
        <v>9</v>
      </c>
      <c r="E26" s="2">
        <v>45361</v>
      </c>
      <c r="F26" s="1">
        <v>84</v>
      </c>
    </row>
    <row r="27" spans="1:6" x14ac:dyDescent="0.3">
      <c r="A27" s="1" t="s">
        <v>69</v>
      </c>
      <c r="B27" s="1" t="s">
        <v>70</v>
      </c>
      <c r="C27" s="1" t="s">
        <v>16</v>
      </c>
      <c r="D27" s="1" t="s">
        <v>26</v>
      </c>
      <c r="E27" s="2">
        <v>45313</v>
      </c>
      <c r="F27" s="1">
        <v>93</v>
      </c>
    </row>
    <row r="28" spans="1:6" x14ac:dyDescent="0.3">
      <c r="A28" s="1" t="s">
        <v>71</v>
      </c>
      <c r="B28" s="1" t="s">
        <v>72</v>
      </c>
      <c r="C28" s="1" t="s">
        <v>8</v>
      </c>
      <c r="D28" s="1" t="s">
        <v>29</v>
      </c>
      <c r="E28" s="2">
        <v>45334</v>
      </c>
      <c r="F28" s="1">
        <v>79</v>
      </c>
    </row>
    <row r="29" spans="1:6" x14ac:dyDescent="0.3">
      <c r="A29" s="1" t="s">
        <v>73</v>
      </c>
      <c r="B29" s="1" t="s">
        <v>74</v>
      </c>
      <c r="C29" s="1" t="s">
        <v>20</v>
      </c>
      <c r="D29" s="1" t="s">
        <v>13</v>
      </c>
      <c r="E29" s="2">
        <v>45371</v>
      </c>
      <c r="F29" s="1">
        <v>86</v>
      </c>
    </row>
    <row r="30" spans="1:6" x14ac:dyDescent="0.3">
      <c r="A30" s="1" t="s">
        <v>75</v>
      </c>
      <c r="B30" s="1" t="s">
        <v>76</v>
      </c>
      <c r="C30" s="1" t="s">
        <v>12</v>
      </c>
      <c r="D30" s="1" t="s">
        <v>17</v>
      </c>
      <c r="E30" s="2">
        <v>45308</v>
      </c>
      <c r="F30" s="1">
        <v>90</v>
      </c>
    </row>
    <row r="31" spans="1:6" x14ac:dyDescent="0.3">
      <c r="A31" s="1" t="s">
        <v>77</v>
      </c>
      <c r="B31" s="1" t="s">
        <v>78</v>
      </c>
      <c r="C31" s="1" t="s">
        <v>16</v>
      </c>
      <c r="D31" s="1" t="s">
        <v>9</v>
      </c>
      <c r="E31" s="2">
        <v>45347</v>
      </c>
      <c r="F31" s="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Completion_Date</vt:lpstr>
      <vt:lpstr>Department</vt:lpstr>
      <vt:lpstr>Score</vt:lpstr>
      <vt:lpstr>Training_Program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2026-02-20T03:57:39Z</dcterms:created>
  <dcterms:modified xsi:type="dcterms:W3CDTF">2026-02-20T13:06:44Z</dcterms:modified>
</cp:coreProperties>
</file>
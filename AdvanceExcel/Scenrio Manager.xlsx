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FB978019-40F9-4F8E-8AC2-10AA8AB3C9C7}" xr6:coauthVersionLast="47" xr6:coauthVersionMax="47" xr10:uidLastSave="{00000000-0000-0000-0000-000000000000}"/>
  <bookViews>
    <workbookView xWindow="-108" yWindow="-108" windowWidth="23256" windowHeight="13896" firstSheet="2" activeTab="6" xr2:uid="{DFFBC060-66F1-4E5C-BD70-1A334413188F}"/>
  </bookViews>
  <sheets>
    <sheet name="Scenario Summary Sheet1" sheetId="6" r:id="rId1"/>
    <sheet name="Scenario Summary Sheet2" sheetId="9" r:id="rId2"/>
    <sheet name="Scenario Summary Sheet3" sheetId="5" r:id="rId3"/>
    <sheet name="Sheet1" sheetId="1" r:id="rId4"/>
    <sheet name="Sheet2" sheetId="7" r:id="rId5"/>
    <sheet name="Sheet3" sheetId="3" r:id="rId6"/>
    <sheet name="Scenario Summary" sheetId="15" r:id="rId7"/>
    <sheet name="Sheet4" sheetId="10" r:id="rId8"/>
  </sheets>
  <definedNames>
    <definedName name="Accomodation">Sheet3!$B$8</definedName>
    <definedName name="Ad_Spend">Sheet2!$B$2</definedName>
    <definedName name="Budget">Sheet3!$B$4</definedName>
    <definedName name="Conversion_Rate_Percentages">Sheet2!$B$4</definedName>
    <definedName name="Cost_Growth">Sheet4!$C$7</definedName>
    <definedName name="Fixed_Cost">Sheet1!$B$5</definedName>
    <definedName name="Food">Sheet3!$B$9</definedName>
    <definedName name="Interest_Rate">Sheet4!$C$6</definedName>
    <definedName name="Leads_Generated">Sheet2!$B$3</definedName>
    <definedName name="Mis">Sheet3!$B$11</definedName>
    <definedName name="Price_Growth">Sheet4!$C$8</definedName>
    <definedName name="Profit_Formula">Sheet1!$B$6</definedName>
    <definedName name="Revenue">Sheet2!$B$6</definedName>
    <definedName name="Revenue_per_Sale">Sheet2!$B$5</definedName>
    <definedName name="ROI_Percentages">Sheet2!$B$7</definedName>
    <definedName name="Sales_Growth">Sheet4!$C$3</definedName>
    <definedName name="Sales_Price____Unit">Sheet1!$B$2</definedName>
    <definedName name="Spare_Cash">Sheet3!$B$14</definedName>
    <definedName name="Tax_Rate">Sheet4!$C$1</definedName>
    <definedName name="Tickets">Sheet3!$B$10</definedName>
    <definedName name="Total_Expense">Sheet3!$B$13</definedName>
    <definedName name="Train_Travel">Sheet3!$B$7</definedName>
    <definedName name="Unit_Sold">Sheet1!$B$3</definedName>
    <definedName name="Variable_Cost___Unit">Sheet1!$B$4</definedName>
    <definedName name="Year_1_Cost">Sheet4!$C$5</definedName>
    <definedName name="Year_1_Price">Sheet4!$C$4</definedName>
    <definedName name="Year_1_Sales">Sheet4!$C$2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0" l="1"/>
  <c r="F13" i="10" s="1"/>
  <c r="G13" i="10" s="1"/>
  <c r="D13" i="10"/>
  <c r="C17" i="10"/>
  <c r="E12" i="10"/>
  <c r="F12" i="10"/>
  <c r="G12" i="10" s="1"/>
  <c r="D12" i="10"/>
  <c r="D11" i="10"/>
  <c r="D15" i="10" s="1"/>
  <c r="C18" i="10"/>
  <c r="C16" i="10"/>
  <c r="C15" i="10"/>
  <c r="C14" i="10"/>
  <c r="B6" i="7"/>
  <c r="B7" i="7" s="1"/>
  <c r="B13" i="3"/>
  <c r="B14" i="3" s="1"/>
  <c r="B6" i="1"/>
  <c r="C23" i="10"/>
  <c r="D14" i="10" l="1"/>
  <c r="D16" i="10" s="1"/>
  <c r="E11" i="10"/>
  <c r="E15" i="10" s="1"/>
  <c r="F11" i="10" l="1"/>
  <c r="F15" i="10" s="1"/>
  <c r="E14" i="10"/>
  <c r="E16" i="10" s="1"/>
  <c r="D17" i="10"/>
  <c r="D18" i="10" s="1"/>
  <c r="E17" i="10" l="1"/>
  <c r="E18" i="10" s="1"/>
  <c r="G11" i="10"/>
  <c r="F14" i="10"/>
  <c r="F16" i="10" s="1"/>
  <c r="F17" i="10" l="1"/>
  <c r="F18" i="10" s="1"/>
  <c r="G14" i="10"/>
  <c r="G15" i="10"/>
  <c r="G16" i="10" l="1"/>
  <c r="G17" i="10" s="1"/>
  <c r="G18" i="10" l="1"/>
  <c r="C20" i="10" s="1"/>
</calcChain>
</file>

<file path=xl/sharedStrings.xml><?xml version="1.0" encoding="utf-8"?>
<sst xmlns="http://schemas.openxmlformats.org/spreadsheetml/2006/main" count="132" uniqueCount="92">
  <si>
    <t>Sales Price  / Unit</t>
  </si>
  <si>
    <t>Unit Sold</t>
  </si>
  <si>
    <t>Variable Cost / Unit</t>
  </si>
  <si>
    <t>Fixed Cost</t>
  </si>
  <si>
    <t>Profit Formula</t>
  </si>
  <si>
    <t>Item</t>
  </si>
  <si>
    <t>Value</t>
  </si>
  <si>
    <t>Best Case</t>
  </si>
  <si>
    <t>Created by Triveni on 09-02-2026</t>
  </si>
  <si>
    <t>Scenario Summary</t>
  </si>
  <si>
    <t>Changing Cells:</t>
  </si>
  <si>
    <t>Current Values:</t>
  </si>
  <si>
    <t>Notes:  Current Values column represents values of changing cells at</t>
  </si>
  <si>
    <t>time Scenario Summary Report was created.  Changing cells for each</t>
  </si>
  <si>
    <t>scenario are highlighted in gray.</t>
  </si>
  <si>
    <t>Budget</t>
  </si>
  <si>
    <t>Input</t>
  </si>
  <si>
    <t xml:space="preserve"> </t>
  </si>
  <si>
    <t>Train Travel</t>
  </si>
  <si>
    <t>Accomodation</t>
  </si>
  <si>
    <t>Food</t>
  </si>
  <si>
    <t>Tickets</t>
  </si>
  <si>
    <t>Total Expense</t>
  </si>
  <si>
    <t>Spare Cash</t>
  </si>
  <si>
    <t>Mis</t>
  </si>
  <si>
    <t>Original</t>
  </si>
  <si>
    <t>Second</t>
  </si>
  <si>
    <t>Third</t>
  </si>
  <si>
    <t>Result Cells:</t>
  </si>
  <si>
    <t>Train_Travel</t>
  </si>
  <si>
    <t>Spare_Cash</t>
  </si>
  <si>
    <t>Worst Case</t>
  </si>
  <si>
    <t>Expected</t>
  </si>
  <si>
    <t>Sales_Price____Unit</t>
  </si>
  <si>
    <t>Unit_Sold</t>
  </si>
  <si>
    <t>Variable_Cost___Unit</t>
  </si>
  <si>
    <t>Fixed_Cost</t>
  </si>
  <si>
    <t>Profit_Formula</t>
  </si>
  <si>
    <t>Best_Case</t>
  </si>
  <si>
    <t>Worst_Case</t>
  </si>
  <si>
    <t>Input_Output</t>
  </si>
  <si>
    <t>Base Case</t>
  </si>
  <si>
    <t>Notes</t>
  </si>
  <si>
    <t>Ad Spend</t>
  </si>
  <si>
    <t>Leads Generated</t>
  </si>
  <si>
    <t>Conversion Rate Percentages</t>
  </si>
  <si>
    <t>Revenue per Sale</t>
  </si>
  <si>
    <t>Revenue</t>
  </si>
  <si>
    <t>ROI Percentages</t>
  </si>
  <si>
    <t>Changing cell</t>
  </si>
  <si>
    <t>Fixed</t>
  </si>
  <si>
    <t>Formula</t>
  </si>
  <si>
    <t>Aggressive Campaign</t>
  </si>
  <si>
    <t>Balanced Campaign</t>
  </si>
  <si>
    <t>Conservative Campaign</t>
  </si>
  <si>
    <t>Ad_Spend</t>
  </si>
  <si>
    <t>Leads_Generated</t>
  </si>
  <si>
    <t>ROI_Percentages</t>
  </si>
  <si>
    <t>Balanced</t>
  </si>
  <si>
    <t>Aggresive</t>
  </si>
  <si>
    <t>Conservative</t>
  </si>
  <si>
    <t>Created by Triveni on 10-02-2026
Modified by Triveni on 10-02-2026</t>
  </si>
  <si>
    <t>Tax Rate</t>
  </si>
  <si>
    <t>Year 1 Sales</t>
  </si>
  <si>
    <t xml:space="preserve">Sales Growth </t>
  </si>
  <si>
    <t>Year 1 Price</t>
  </si>
  <si>
    <t>Year 1 Cost</t>
  </si>
  <si>
    <t>Cost Growth</t>
  </si>
  <si>
    <t>Price Growth</t>
  </si>
  <si>
    <t>Interest Rate</t>
  </si>
  <si>
    <t>Year</t>
  </si>
  <si>
    <t>Unit Sales</t>
  </si>
  <si>
    <t>Unit Price</t>
  </si>
  <si>
    <t>Unit Cost</t>
  </si>
  <si>
    <t>Costs</t>
  </si>
  <si>
    <t>Before Tax Profit</t>
  </si>
  <si>
    <t>Tax</t>
  </si>
  <si>
    <t>After Tax Profit</t>
  </si>
  <si>
    <t>Year_1_Sales</t>
  </si>
  <si>
    <t>Sales_Growth</t>
  </si>
  <si>
    <t>Year_1_Price</t>
  </si>
  <si>
    <t>Best</t>
  </si>
  <si>
    <t>Created by Triveni on 29-03-2026</t>
  </si>
  <si>
    <t>Worst</t>
  </si>
  <si>
    <t>NPV</t>
  </si>
  <si>
    <t>$C$20</t>
  </si>
  <si>
    <t>Most Probably</t>
  </si>
  <si>
    <t>$C$18</t>
  </si>
  <si>
    <t>$D$18</t>
  </si>
  <si>
    <t>$E$18</t>
  </si>
  <si>
    <t>$F$18</t>
  </si>
  <si>
    <t>$G$18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</si>
</sst>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3" xfId="0" applyBorder="1"/>
    <xf numFmtId="0" fontId="2" fillId="2" borderId="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5" xfId="0" applyBorder="1"/>
    <xf numFmtId="0" fontId="3" fillId="3" borderId="0" xfId="0" applyFont="1" applyFill="1" applyAlignment="1">
      <alignment horizontal="left"/>
    </xf>
    <xf numFmtId="0" fontId="4" fillId="3" borderId="5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0" fillId="4" borderId="0" xfId="0" applyFill="1"/>
    <xf numFmtId="0" fontId="6" fillId="0" borderId="0" xfId="0" applyFont="1" applyAlignment="1">
      <alignment vertical="top" wrapText="1"/>
    </xf>
    <xf numFmtId="0" fontId="3" fillId="3" borderId="3" xfId="0" applyFont="1" applyFill="1" applyBorder="1" applyAlignment="1">
      <alignment horizontal="left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6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left"/>
    </xf>
    <xf numFmtId="0" fontId="0" fillId="4" borderId="1" xfId="0" applyFill="1" applyBorder="1"/>
    <xf numFmtId="0" fontId="0" fillId="0" borderId="0" xfId="0" applyAlignment="1">
      <alignment wrapText="1"/>
    </xf>
    <xf numFmtId="2" fontId="0" fillId="0" borderId="1" xfId="0" applyNumberFormat="1" applyBorder="1"/>
    <xf numFmtId="1" fontId="1" fillId="0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8" fontId="1" fillId="5" borderId="0" xfId="0" applyNumberFormat="1" applyFont="1" applyFill="1"/>
    <xf numFmtId="0" fontId="0" fillId="0" borderId="1" xfId="0" applyFill="1" applyBorder="1" applyAlignment="1"/>
    <xf numFmtId="0" fontId="6" fillId="0" borderId="1" xfId="0" applyFont="1" applyFill="1" applyBorder="1" applyAlignment="1">
      <alignment vertical="top" wrapText="1"/>
    </xf>
    <xf numFmtId="2" fontId="0" fillId="0" borderId="1" xfId="0" applyNumberFormat="1" applyFill="1" applyBorder="1" applyAlignment="1"/>
    <xf numFmtId="2" fontId="0" fillId="4" borderId="1" xfId="0" applyNumberFormat="1" applyFill="1" applyBorder="1" applyAlignment="1"/>
    <xf numFmtId="8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E4D0-0C5B-472E-99DF-84FAE0CEC631}">
  <sheetPr>
    <outlinePr summaryBelow="0"/>
  </sheetPr>
  <dimension ref="B1:G14"/>
  <sheetViews>
    <sheetView showGridLines="0" workbookViewId="0">
      <selection activeCell="G15" sqref="G15"/>
    </sheetView>
  </sheetViews>
  <sheetFormatPr defaultRowHeight="14.4" outlineLevelRow="1" outlineLevelCol="1" x14ac:dyDescent="0.3"/>
  <cols>
    <col min="3" max="3" width="18.554687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6" t="s">
        <v>9</v>
      </c>
      <c r="C2" s="6"/>
      <c r="D2" s="10"/>
      <c r="E2" s="10"/>
      <c r="F2" s="10"/>
      <c r="G2" s="10"/>
    </row>
    <row r="3" spans="2:7" ht="15.6" collapsed="1" x14ac:dyDescent="0.3">
      <c r="B3" s="5"/>
      <c r="C3" s="5"/>
      <c r="D3" s="11" t="s">
        <v>11</v>
      </c>
      <c r="E3" s="11" t="s">
        <v>32</v>
      </c>
      <c r="F3" s="11" t="s">
        <v>38</v>
      </c>
      <c r="G3" s="11" t="s">
        <v>39</v>
      </c>
    </row>
    <row r="4" spans="2:7" ht="21.6" hidden="1" outlineLevel="1" x14ac:dyDescent="0.3">
      <c r="B4" s="8"/>
      <c r="C4" s="8"/>
      <c r="E4" s="13" t="s">
        <v>8</v>
      </c>
      <c r="F4" s="13" t="s">
        <v>8</v>
      </c>
      <c r="G4" s="13" t="s">
        <v>8</v>
      </c>
    </row>
    <row r="5" spans="2:7" x14ac:dyDescent="0.3">
      <c r="B5" s="9" t="s">
        <v>10</v>
      </c>
      <c r="C5" s="9"/>
      <c r="D5" s="7"/>
      <c r="E5" s="7"/>
      <c r="F5" s="7"/>
      <c r="G5" s="7"/>
    </row>
    <row r="6" spans="2:7" outlineLevel="1" x14ac:dyDescent="0.3">
      <c r="B6" s="8"/>
      <c r="C6" s="8" t="s">
        <v>33</v>
      </c>
      <c r="D6">
        <v>500</v>
      </c>
      <c r="E6" s="12">
        <v>500</v>
      </c>
      <c r="F6" s="12">
        <v>620</v>
      </c>
      <c r="G6" s="12">
        <v>400</v>
      </c>
    </row>
    <row r="7" spans="2:7" outlineLevel="1" x14ac:dyDescent="0.3">
      <c r="B7" s="8"/>
      <c r="C7" s="8" t="s">
        <v>34</v>
      </c>
      <c r="D7">
        <v>100</v>
      </c>
      <c r="E7" s="12">
        <v>100</v>
      </c>
      <c r="F7" s="12">
        <v>250</v>
      </c>
      <c r="G7" s="12">
        <v>90</v>
      </c>
    </row>
    <row r="8" spans="2:7" outlineLevel="1" x14ac:dyDescent="0.3">
      <c r="B8" s="8"/>
      <c r="C8" s="8" t="s">
        <v>35</v>
      </c>
      <c r="D8">
        <v>300</v>
      </c>
      <c r="E8" s="12">
        <v>300</v>
      </c>
      <c r="F8" s="12">
        <v>250</v>
      </c>
      <c r="G8" s="12">
        <v>350</v>
      </c>
    </row>
    <row r="9" spans="2:7" outlineLevel="1" x14ac:dyDescent="0.3">
      <c r="B9" s="8"/>
      <c r="C9" s="8" t="s">
        <v>36</v>
      </c>
      <c r="D9">
        <v>10000</v>
      </c>
      <c r="E9" s="12">
        <v>10000</v>
      </c>
      <c r="F9" s="12">
        <v>10000</v>
      </c>
      <c r="G9" s="12">
        <v>10000</v>
      </c>
    </row>
    <row r="10" spans="2:7" x14ac:dyDescent="0.3">
      <c r="B10" s="9" t="s">
        <v>28</v>
      </c>
      <c r="C10" s="9"/>
      <c r="D10" s="7"/>
      <c r="E10" s="7"/>
      <c r="F10" s="7"/>
      <c r="G10" s="7"/>
    </row>
    <row r="11" spans="2:7" ht="15" outlineLevel="1" thickBot="1" x14ac:dyDescent="0.35">
      <c r="B11" s="14"/>
      <c r="C11" s="14" t="s">
        <v>37</v>
      </c>
      <c r="D11" s="4">
        <v>10000</v>
      </c>
      <c r="E11" s="4">
        <v>10000</v>
      </c>
      <c r="F11" s="4">
        <v>82500</v>
      </c>
      <c r="G11" s="4">
        <v>-5500</v>
      </c>
    </row>
    <row r="12" spans="2:7" x14ac:dyDescent="0.3">
      <c r="B12" t="s">
        <v>12</v>
      </c>
    </row>
    <row r="13" spans="2:7" x14ac:dyDescent="0.3">
      <c r="B13" t="s">
        <v>13</v>
      </c>
    </row>
    <row r="14" spans="2:7" x14ac:dyDescent="0.3">
      <c r="B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EC00-1B29-48B2-A252-2F127EEBDA47}">
  <sheetPr>
    <outlinePr summaryBelow="0"/>
  </sheetPr>
  <dimension ref="B2:G12"/>
  <sheetViews>
    <sheetView showGridLines="0" workbookViewId="0">
      <selection activeCell="G24" sqref="G24"/>
    </sheetView>
  </sheetViews>
  <sheetFormatPr defaultRowHeight="14.4" outlineLevelRow="1" outlineLevelCol="1" x14ac:dyDescent="0.3"/>
  <cols>
    <col min="2" max="2" width="25.77734375" customWidth="1"/>
    <col min="3" max="3" width="15.5546875" bestFit="1" customWidth="1"/>
    <col min="4" max="7" width="12.6640625" bestFit="1" customWidth="1" outlineLevel="1"/>
  </cols>
  <sheetData>
    <row r="2" spans="2:7" ht="15.6" x14ac:dyDescent="0.3">
      <c r="B2" s="16" t="s">
        <v>9</v>
      </c>
      <c r="C2" s="16"/>
      <c r="D2" s="17"/>
      <c r="E2" s="17"/>
      <c r="F2" s="17"/>
      <c r="G2" s="17"/>
    </row>
    <row r="3" spans="2:7" ht="15.6" collapsed="1" x14ac:dyDescent="0.3">
      <c r="B3" s="16"/>
      <c r="C3" s="16"/>
      <c r="D3" s="17" t="s">
        <v>11</v>
      </c>
      <c r="E3" s="17" t="s">
        <v>58</v>
      </c>
      <c r="F3" s="17" t="s">
        <v>59</v>
      </c>
      <c r="G3" s="17" t="s">
        <v>60</v>
      </c>
    </row>
    <row r="4" spans="2:7" ht="43.2" hidden="1" outlineLevel="1" x14ac:dyDescent="0.3">
      <c r="B4" s="18"/>
      <c r="C4" s="18"/>
      <c r="D4" s="2"/>
      <c r="E4" s="19" t="s">
        <v>61</v>
      </c>
      <c r="F4" s="19" t="s">
        <v>61</v>
      </c>
      <c r="G4" s="19" t="s">
        <v>61</v>
      </c>
    </row>
    <row r="5" spans="2:7" x14ac:dyDescent="0.3">
      <c r="B5" s="20" t="s">
        <v>10</v>
      </c>
      <c r="C5" s="20"/>
      <c r="D5" s="2"/>
      <c r="E5" s="2"/>
      <c r="F5" s="2"/>
      <c r="G5" s="2"/>
    </row>
    <row r="6" spans="2:7" outlineLevel="1" x14ac:dyDescent="0.3">
      <c r="B6" s="18"/>
      <c r="C6" s="18" t="s">
        <v>55</v>
      </c>
      <c r="D6" s="2">
        <v>200000</v>
      </c>
      <c r="E6" s="21">
        <v>200000</v>
      </c>
      <c r="F6" s="21">
        <v>3000000</v>
      </c>
      <c r="G6" s="21">
        <v>100000</v>
      </c>
    </row>
    <row r="7" spans="2:7" outlineLevel="1" x14ac:dyDescent="0.3">
      <c r="B7" s="18"/>
      <c r="C7" s="18" t="s">
        <v>56</v>
      </c>
      <c r="D7" s="2">
        <v>1000</v>
      </c>
      <c r="E7" s="21">
        <v>1000</v>
      </c>
      <c r="F7" s="21">
        <v>1500</v>
      </c>
      <c r="G7" s="21">
        <v>600</v>
      </c>
    </row>
    <row r="8" spans="2:7" x14ac:dyDescent="0.3">
      <c r="B8" s="20" t="s">
        <v>28</v>
      </c>
      <c r="C8" s="20"/>
      <c r="D8" s="2"/>
      <c r="E8" s="2"/>
      <c r="F8" s="2"/>
      <c r="G8" s="2"/>
    </row>
    <row r="9" spans="2:7" outlineLevel="1" x14ac:dyDescent="0.3">
      <c r="B9" s="18"/>
      <c r="C9" s="18" t="s">
        <v>57</v>
      </c>
      <c r="D9" s="2">
        <v>1.5</v>
      </c>
      <c r="E9" s="2">
        <v>1.5</v>
      </c>
      <c r="F9" s="2">
        <v>-0.75</v>
      </c>
      <c r="G9" s="2">
        <v>2</v>
      </c>
    </row>
    <row r="10" spans="2:7" ht="28.8" x14ac:dyDescent="0.3">
      <c r="B10" s="22" t="s">
        <v>12</v>
      </c>
    </row>
    <row r="11" spans="2:7" ht="28.8" x14ac:dyDescent="0.3">
      <c r="B11" s="22" t="s">
        <v>13</v>
      </c>
    </row>
    <row r="12" spans="2:7" ht="28.8" x14ac:dyDescent="0.3">
      <c r="B12" s="2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7682-AF73-45EC-B32A-062CD306D081}">
  <sheetPr>
    <outlinePr summaryBelow="0"/>
  </sheetPr>
  <dimension ref="B1:G15"/>
  <sheetViews>
    <sheetView showGridLines="0" workbookViewId="0">
      <selection activeCell="G23" sqref="G23"/>
    </sheetView>
  </sheetViews>
  <sheetFormatPr defaultRowHeight="14.4" outlineLevelRow="1" outlineLevelCol="1" x14ac:dyDescent="0.3"/>
  <cols>
    <col min="3" max="3" width="13.2187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6" t="s">
        <v>9</v>
      </c>
      <c r="C2" s="6"/>
      <c r="D2" s="10"/>
      <c r="E2" s="10"/>
      <c r="F2" s="10"/>
      <c r="G2" s="10"/>
    </row>
    <row r="3" spans="2:7" ht="15.6" collapsed="1" x14ac:dyDescent="0.3">
      <c r="B3" s="5"/>
      <c r="C3" s="5"/>
      <c r="D3" s="11" t="s">
        <v>11</v>
      </c>
      <c r="E3" s="11" t="s">
        <v>25</v>
      </c>
      <c r="F3" s="11" t="s">
        <v>26</v>
      </c>
      <c r="G3" s="11" t="s">
        <v>27</v>
      </c>
    </row>
    <row r="4" spans="2:7" ht="21.6" hidden="1" outlineLevel="1" x14ac:dyDescent="0.3">
      <c r="B4" s="8"/>
      <c r="C4" s="8"/>
      <c r="E4" s="13" t="s">
        <v>8</v>
      </c>
      <c r="F4" s="13" t="s">
        <v>8</v>
      </c>
      <c r="G4" s="13" t="s">
        <v>8</v>
      </c>
    </row>
    <row r="5" spans="2:7" x14ac:dyDescent="0.3">
      <c r="B5" s="9" t="s">
        <v>10</v>
      </c>
      <c r="C5" s="9"/>
      <c r="D5" s="7"/>
      <c r="E5" s="7"/>
      <c r="F5" s="7"/>
      <c r="G5" s="7"/>
    </row>
    <row r="6" spans="2:7" outlineLevel="1" x14ac:dyDescent="0.3">
      <c r="B6" s="8"/>
      <c r="C6" s="8" t="s">
        <v>29</v>
      </c>
      <c r="D6">
        <v>65</v>
      </c>
      <c r="E6" s="12">
        <v>65</v>
      </c>
      <c r="F6" s="12">
        <v>70</v>
      </c>
      <c r="G6" s="12">
        <v>85</v>
      </c>
    </row>
    <row r="7" spans="2:7" outlineLevel="1" x14ac:dyDescent="0.3">
      <c r="B7" s="8"/>
      <c r="C7" s="8" t="s">
        <v>19</v>
      </c>
      <c r="D7">
        <v>200</v>
      </c>
      <c r="E7" s="12">
        <v>200</v>
      </c>
      <c r="F7" s="12">
        <v>220</v>
      </c>
      <c r="G7" s="12">
        <v>220</v>
      </c>
    </row>
    <row r="8" spans="2:7" outlineLevel="1" x14ac:dyDescent="0.3">
      <c r="B8" s="8"/>
      <c r="C8" s="8" t="s">
        <v>20</v>
      </c>
      <c r="D8">
        <v>100</v>
      </c>
      <c r="E8" s="12">
        <v>100</v>
      </c>
      <c r="F8" s="12">
        <v>110</v>
      </c>
      <c r="G8" s="12">
        <v>130</v>
      </c>
    </row>
    <row r="9" spans="2:7" outlineLevel="1" x14ac:dyDescent="0.3">
      <c r="B9" s="8"/>
      <c r="C9" s="8" t="s">
        <v>21</v>
      </c>
      <c r="D9">
        <v>50</v>
      </c>
      <c r="E9" s="12">
        <v>50</v>
      </c>
      <c r="F9" s="12">
        <v>60</v>
      </c>
      <c r="G9" s="12">
        <v>60</v>
      </c>
    </row>
    <row r="10" spans="2:7" outlineLevel="1" x14ac:dyDescent="0.3">
      <c r="B10" s="8"/>
      <c r="C10" s="8" t="s">
        <v>24</v>
      </c>
      <c r="D10">
        <v>70</v>
      </c>
      <c r="E10" s="12">
        <v>70</v>
      </c>
      <c r="F10" s="12">
        <v>80</v>
      </c>
      <c r="G10" s="12">
        <v>80</v>
      </c>
    </row>
    <row r="11" spans="2:7" x14ac:dyDescent="0.3">
      <c r="B11" s="9" t="s">
        <v>28</v>
      </c>
      <c r="C11" s="9"/>
      <c r="D11" s="7"/>
      <c r="E11" s="7"/>
      <c r="F11" s="7"/>
      <c r="G11" s="7"/>
    </row>
    <row r="12" spans="2:7" ht="15" outlineLevel="1" thickBot="1" x14ac:dyDescent="0.35">
      <c r="B12" s="14"/>
      <c r="C12" s="14" t="s">
        <v>30</v>
      </c>
      <c r="D12" s="4">
        <v>215</v>
      </c>
      <c r="E12" s="4">
        <v>215</v>
      </c>
      <c r="F12" s="4">
        <v>160</v>
      </c>
      <c r="G12" s="4">
        <v>125</v>
      </c>
    </row>
    <row r="13" spans="2:7" x14ac:dyDescent="0.3">
      <c r="B13" t="s">
        <v>12</v>
      </c>
    </row>
    <row r="14" spans="2:7" x14ac:dyDescent="0.3">
      <c r="B14" t="s">
        <v>13</v>
      </c>
    </row>
    <row r="15" spans="2:7" x14ac:dyDescent="0.3">
      <c r="B1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D759-83AD-4973-A6D0-DC90F1A1042F}">
  <dimension ref="A1:F6"/>
  <sheetViews>
    <sheetView workbookViewId="0">
      <selection activeCell="G23" sqref="G23"/>
    </sheetView>
  </sheetViews>
  <sheetFormatPr defaultRowHeight="14.4" x14ac:dyDescent="0.3"/>
  <cols>
    <col min="1" max="1" width="20.6640625" customWidth="1"/>
    <col min="5" max="5" width="10.5546875" customWidth="1"/>
  </cols>
  <sheetData>
    <row r="1" spans="1:6" x14ac:dyDescent="0.3">
      <c r="A1" s="2" t="s">
        <v>5</v>
      </c>
      <c r="B1" s="2" t="s">
        <v>6</v>
      </c>
      <c r="D1" s="2" t="s">
        <v>7</v>
      </c>
      <c r="E1" s="2" t="s">
        <v>31</v>
      </c>
      <c r="F1" s="2" t="s">
        <v>32</v>
      </c>
    </row>
    <row r="2" spans="1:6" x14ac:dyDescent="0.3">
      <c r="A2" s="2" t="s">
        <v>0</v>
      </c>
      <c r="B2" s="2">
        <v>500</v>
      </c>
      <c r="D2" s="2">
        <v>620</v>
      </c>
      <c r="E2" s="2">
        <v>400</v>
      </c>
      <c r="F2" s="2">
        <v>500</v>
      </c>
    </row>
    <row r="3" spans="1:6" x14ac:dyDescent="0.3">
      <c r="A3" s="2" t="s">
        <v>1</v>
      </c>
      <c r="B3" s="2">
        <v>100</v>
      </c>
      <c r="D3" s="2">
        <v>250</v>
      </c>
      <c r="E3" s="2">
        <v>90</v>
      </c>
      <c r="F3" s="2">
        <v>100</v>
      </c>
    </row>
    <row r="4" spans="1:6" x14ac:dyDescent="0.3">
      <c r="A4" s="2" t="s">
        <v>2</v>
      </c>
      <c r="B4" s="2">
        <v>300</v>
      </c>
      <c r="D4" s="2">
        <v>250</v>
      </c>
      <c r="E4" s="2">
        <v>350</v>
      </c>
      <c r="F4" s="2">
        <v>300</v>
      </c>
    </row>
    <row r="5" spans="1:6" x14ac:dyDescent="0.3">
      <c r="A5" s="2" t="s">
        <v>3</v>
      </c>
      <c r="B5" s="2">
        <v>10000</v>
      </c>
      <c r="D5" s="2">
        <v>10000</v>
      </c>
      <c r="E5" s="2">
        <v>10000</v>
      </c>
      <c r="F5" s="2">
        <v>10000</v>
      </c>
    </row>
    <row r="6" spans="1:6" x14ac:dyDescent="0.3">
      <c r="A6" s="3" t="s">
        <v>4</v>
      </c>
      <c r="B6" s="2">
        <f>(B2*B3)-(B4*B3+B5)</f>
        <v>10000</v>
      </c>
      <c r="D6" s="2"/>
      <c r="E6" s="2"/>
      <c r="F6" s="2"/>
    </row>
  </sheetData>
  <scenarios current="0" sqref="B6">
    <scenario name="Expected" locked="1" count="4" user="Triveni" comment="Created by Triveni on 09-02-2026">
      <inputCells r="B2" val="500"/>
      <inputCells r="B3" val="100"/>
      <inputCells r="B4" val="300"/>
      <inputCells r="B5" val="10000"/>
    </scenario>
    <scenario name="Best_Case" locked="1" count="4" user="Triveni" comment="Created by Triveni on 09-02-2026">
      <inputCells r="B2" val="620"/>
      <inputCells r="B3" val="250"/>
      <inputCells r="B4" val="250"/>
      <inputCells r="B5" val="10000"/>
    </scenario>
    <scenario name="Worst_Case" locked="1" count="4" user="Triveni" comment="Created by Triveni on 09-02-2026">
      <inputCells r="B2" val="400"/>
      <inputCells r="B3" val="90"/>
      <inputCells r="B4" val="350"/>
      <inputCells r="B5" val="10000"/>
    </scenario>
  </scenario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5780-E5EB-4577-878A-05C93A422FE5}">
  <dimension ref="A1:F7"/>
  <sheetViews>
    <sheetView workbookViewId="0">
      <selection activeCell="B7" sqref="B7"/>
    </sheetView>
  </sheetViews>
  <sheetFormatPr defaultRowHeight="14.4" x14ac:dyDescent="0.3"/>
  <cols>
    <col min="1" max="1" width="26.88671875" customWidth="1"/>
    <col min="2" max="2" width="12" customWidth="1"/>
    <col min="3" max="3" width="12.21875" customWidth="1"/>
    <col min="4" max="4" width="18.21875" bestFit="1" customWidth="1"/>
    <col min="5" max="5" width="17.21875" bestFit="1" customWidth="1"/>
    <col min="6" max="6" width="21.88671875" bestFit="1" customWidth="1"/>
  </cols>
  <sheetData>
    <row r="1" spans="1:6" x14ac:dyDescent="0.3">
      <c r="A1" s="15" t="s">
        <v>40</v>
      </c>
      <c r="B1" s="15" t="s">
        <v>41</v>
      </c>
      <c r="C1" s="15" t="s">
        <v>42</v>
      </c>
      <c r="D1" s="15" t="s">
        <v>52</v>
      </c>
      <c r="E1" s="15" t="s">
        <v>53</v>
      </c>
      <c r="F1" s="15" t="s">
        <v>54</v>
      </c>
    </row>
    <row r="2" spans="1:6" x14ac:dyDescent="0.3">
      <c r="A2" s="2" t="s">
        <v>43</v>
      </c>
      <c r="B2" s="2">
        <v>200000</v>
      </c>
      <c r="C2" s="2" t="s">
        <v>49</v>
      </c>
      <c r="D2" s="2">
        <v>3000000</v>
      </c>
      <c r="E2" s="2">
        <v>200000</v>
      </c>
      <c r="F2" s="2">
        <v>100000</v>
      </c>
    </row>
    <row r="3" spans="1:6" x14ac:dyDescent="0.3">
      <c r="A3" s="2" t="s">
        <v>44</v>
      </c>
      <c r="B3" s="2">
        <v>1000</v>
      </c>
      <c r="C3" s="2" t="s">
        <v>49</v>
      </c>
      <c r="D3" s="2">
        <v>1500</v>
      </c>
      <c r="E3" s="2">
        <v>1000</v>
      </c>
      <c r="F3" s="2">
        <v>6000</v>
      </c>
    </row>
    <row r="4" spans="1:6" x14ac:dyDescent="0.3">
      <c r="A4" s="2" t="s">
        <v>45</v>
      </c>
      <c r="B4" s="2">
        <v>10</v>
      </c>
      <c r="C4" s="2" t="s">
        <v>50</v>
      </c>
      <c r="D4" s="2"/>
      <c r="E4" s="2"/>
      <c r="F4" s="2"/>
    </row>
    <row r="5" spans="1:6" x14ac:dyDescent="0.3">
      <c r="A5" s="2" t="s">
        <v>46</v>
      </c>
      <c r="B5" s="2">
        <v>5000</v>
      </c>
      <c r="C5" s="2" t="s">
        <v>50</v>
      </c>
      <c r="D5" s="2"/>
      <c r="E5" s="2"/>
      <c r="F5" s="2"/>
    </row>
    <row r="6" spans="1:6" x14ac:dyDescent="0.3">
      <c r="A6" s="2" t="s">
        <v>47</v>
      </c>
      <c r="B6" s="2">
        <f>(B3)*(B4/100)*B5</f>
        <v>500000</v>
      </c>
      <c r="C6" s="2" t="s">
        <v>51</v>
      </c>
      <c r="D6" s="2"/>
      <c r="E6" s="2"/>
      <c r="F6" s="2"/>
    </row>
    <row r="7" spans="1:6" x14ac:dyDescent="0.3">
      <c r="A7" s="2" t="s">
        <v>48</v>
      </c>
      <c r="B7" s="2">
        <f>(B6-B2)/Ad_Spend</f>
        <v>1.5</v>
      </c>
      <c r="C7" s="2" t="s">
        <v>51</v>
      </c>
      <c r="D7" s="2"/>
      <c r="E7" s="2"/>
      <c r="F7" s="2"/>
    </row>
  </sheetData>
  <scenarios current="2" sqref="B7">
    <scenario name="Balanced" locked="1" count="2" user="Triveni" comment="Created by Triveni on 10-02-2026_x000a_Modified by Triveni on 10-02-2026">
      <inputCells r="B2" val="200000"/>
      <inputCells r="B3" val="1000"/>
    </scenario>
    <scenario name="Aggresive" locked="1" count="2" user="Triveni" comment="Created by Triveni on 10-02-2026_x000a_Modified by Triveni on 10-02-2026">
      <inputCells r="B2" val="3000000"/>
      <inputCells r="B3" val="1500"/>
    </scenario>
    <scenario name="Conservative" locked="1" count="2" user="Triveni" comment="Created by Triveni on 10-02-2026_x000a_Modified by Triveni on 10-02-2026">
      <inputCells r="B2" val="100000"/>
      <inputCells r="B3" val="600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379A-97F8-4417-8C8F-291C376599CC}">
  <dimension ref="A4:D14"/>
  <sheetViews>
    <sheetView workbookViewId="0">
      <selection activeCell="B14" sqref="B14"/>
    </sheetView>
  </sheetViews>
  <sheetFormatPr defaultRowHeight="14.4" x14ac:dyDescent="0.3"/>
  <cols>
    <col min="1" max="1" width="14.21875" customWidth="1"/>
  </cols>
  <sheetData>
    <row r="4" spans="1:4" x14ac:dyDescent="0.3">
      <c r="A4" s="3" t="s">
        <v>15</v>
      </c>
      <c r="B4" s="2">
        <v>700</v>
      </c>
    </row>
    <row r="5" spans="1:4" x14ac:dyDescent="0.3">
      <c r="A5" t="s">
        <v>17</v>
      </c>
    </row>
    <row r="6" spans="1:4" x14ac:dyDescent="0.3">
      <c r="A6" s="1" t="s">
        <v>16</v>
      </c>
    </row>
    <row r="7" spans="1:4" x14ac:dyDescent="0.3">
      <c r="A7" s="3" t="s">
        <v>18</v>
      </c>
      <c r="B7" s="2">
        <v>65</v>
      </c>
    </row>
    <row r="8" spans="1:4" x14ac:dyDescent="0.3">
      <c r="A8" s="3" t="s">
        <v>19</v>
      </c>
      <c r="B8" s="2">
        <v>200</v>
      </c>
    </row>
    <row r="9" spans="1:4" x14ac:dyDescent="0.3">
      <c r="A9" s="3" t="s">
        <v>20</v>
      </c>
      <c r="B9" s="2">
        <v>100</v>
      </c>
      <c r="D9" t="s">
        <v>17</v>
      </c>
    </row>
    <row r="10" spans="1:4" x14ac:dyDescent="0.3">
      <c r="A10" s="3" t="s">
        <v>21</v>
      </c>
      <c r="B10" s="2">
        <v>50</v>
      </c>
    </row>
    <row r="11" spans="1:4" x14ac:dyDescent="0.3">
      <c r="A11" s="3" t="s">
        <v>24</v>
      </c>
      <c r="B11" s="2">
        <v>70</v>
      </c>
    </row>
    <row r="13" spans="1:4" x14ac:dyDescent="0.3">
      <c r="A13" s="3" t="s">
        <v>22</v>
      </c>
      <c r="B13" s="2">
        <f>B7+B8+B9+B10+B11</f>
        <v>485</v>
      </c>
    </row>
    <row r="14" spans="1:4" x14ac:dyDescent="0.3">
      <c r="A14" s="3" t="s">
        <v>23</v>
      </c>
      <c r="B14" s="2">
        <f>B4-B13</f>
        <v>215</v>
      </c>
    </row>
  </sheetData>
  <scenarios current="0" show="0" sqref="B14">
    <scenario name="Original" locked="1" count="5" user="Triveni" comment="Created by Triveni on 09-02-2026">
      <inputCells r="B7" val="65"/>
      <inputCells r="B8" val="200"/>
      <inputCells r="B9" val="100"/>
      <inputCells r="B10" val="50"/>
      <inputCells r="B11" val="70"/>
    </scenario>
    <scenario name="Second" locked="1" count="5" user="Triveni" comment="Created by Triveni on 09-02-2026">
      <inputCells r="B7" val="70"/>
      <inputCells r="B8" val="220"/>
      <inputCells r="B9" val="110"/>
      <inputCells r="B10" val="60"/>
      <inputCells r="B11" val="80"/>
    </scenario>
    <scenario name="Third" locked="1" count="5" user="Triveni" comment="Created by Triveni on 09-02-2026">
      <inputCells r="B7" val="85"/>
      <inputCells r="B8" val="220"/>
      <inputCells r="B9" val="130"/>
      <inputCells r="B10" val="60"/>
      <inputCells r="B11" val="80"/>
    </scenario>
  </scenario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57A5-308D-4116-A2EC-49927620C060}">
  <sheetPr>
    <outlinePr summaryBelow="0"/>
  </sheetPr>
  <dimension ref="B2:G18"/>
  <sheetViews>
    <sheetView showGridLines="0" tabSelected="1" workbookViewId="0">
      <selection activeCell="G25" sqref="G25"/>
    </sheetView>
  </sheetViews>
  <sheetFormatPr defaultRowHeight="14.4" outlineLevelRow="1" outlineLevelCol="1" x14ac:dyDescent="0.3"/>
  <cols>
    <col min="3" max="3" width="12.33203125" bestFit="1" customWidth="1"/>
    <col min="4" max="7" width="12.6640625" bestFit="1" customWidth="1" outlineLevel="1"/>
  </cols>
  <sheetData>
    <row r="2" spans="2:7" ht="15.6" x14ac:dyDescent="0.3">
      <c r="B2" s="16" t="s">
        <v>9</v>
      </c>
      <c r="C2" s="16"/>
      <c r="D2" s="17"/>
      <c r="E2" s="17"/>
      <c r="F2" s="17"/>
      <c r="G2" s="17"/>
    </row>
    <row r="3" spans="2:7" ht="15.6" collapsed="1" x14ac:dyDescent="0.3">
      <c r="B3" s="16"/>
      <c r="C3" s="16"/>
      <c r="D3" s="17" t="s">
        <v>11</v>
      </c>
      <c r="E3" s="17" t="s">
        <v>81</v>
      </c>
      <c r="F3" s="17" t="s">
        <v>86</v>
      </c>
      <c r="G3" s="17" t="s">
        <v>83</v>
      </c>
    </row>
    <row r="4" spans="2:7" ht="21.6" hidden="1" outlineLevel="1" x14ac:dyDescent="0.3">
      <c r="B4" s="18"/>
      <c r="C4" s="18"/>
      <c r="D4" s="30"/>
      <c r="E4" s="31" t="s">
        <v>82</v>
      </c>
      <c r="F4" s="31" t="s">
        <v>82</v>
      </c>
      <c r="G4" s="31" t="s">
        <v>82</v>
      </c>
    </row>
    <row r="5" spans="2:7" x14ac:dyDescent="0.3">
      <c r="B5" s="20" t="s">
        <v>10</v>
      </c>
      <c r="C5" s="20"/>
      <c r="D5" s="30"/>
      <c r="E5" s="30"/>
      <c r="F5" s="30"/>
      <c r="G5" s="30"/>
    </row>
    <row r="6" spans="2:7" outlineLevel="1" x14ac:dyDescent="0.3">
      <c r="B6" s="18"/>
      <c r="C6" s="18" t="s">
        <v>78</v>
      </c>
      <c r="D6" s="32">
        <v>12000</v>
      </c>
      <c r="E6" s="33">
        <v>20000</v>
      </c>
      <c r="F6" s="33">
        <v>10000</v>
      </c>
      <c r="G6" s="33">
        <v>5000</v>
      </c>
    </row>
    <row r="7" spans="2:7" outlineLevel="1" x14ac:dyDescent="0.3">
      <c r="B7" s="18"/>
      <c r="C7" s="18" t="s">
        <v>79</v>
      </c>
      <c r="D7" s="32">
        <v>0.05</v>
      </c>
      <c r="E7" s="33">
        <v>0.2</v>
      </c>
      <c r="F7" s="33">
        <v>0.1</v>
      </c>
      <c r="G7" s="33">
        <v>0.02</v>
      </c>
    </row>
    <row r="8" spans="2:7" outlineLevel="1" x14ac:dyDescent="0.3">
      <c r="B8" s="18"/>
      <c r="C8" s="18" t="s">
        <v>80</v>
      </c>
      <c r="D8" s="32">
        <v>7.5</v>
      </c>
      <c r="E8" s="33">
        <v>0.1</v>
      </c>
      <c r="F8" s="33">
        <v>7.4999999999999997E-2</v>
      </c>
      <c r="G8" s="33">
        <v>0.05</v>
      </c>
    </row>
    <row r="9" spans="2:7" x14ac:dyDescent="0.3">
      <c r="B9" s="20" t="s">
        <v>28</v>
      </c>
      <c r="C9" s="20"/>
      <c r="D9" s="30"/>
      <c r="E9" s="30"/>
      <c r="F9" s="30"/>
      <c r="G9" s="30"/>
    </row>
    <row r="10" spans="2:7" outlineLevel="1" x14ac:dyDescent="0.3">
      <c r="B10" s="18"/>
      <c r="C10" s="18" t="s">
        <v>87</v>
      </c>
      <c r="D10" s="30">
        <v>10800</v>
      </c>
      <c r="E10" s="30">
        <v>10800</v>
      </c>
      <c r="F10" s="30">
        <v>10800</v>
      </c>
      <c r="G10" s="30">
        <v>10800</v>
      </c>
    </row>
    <row r="11" spans="2:7" outlineLevel="1" x14ac:dyDescent="0.3">
      <c r="B11" s="18"/>
      <c r="C11" s="18" t="s">
        <v>88</v>
      </c>
      <c r="D11" s="30">
        <v>10773</v>
      </c>
      <c r="E11" s="30">
        <v>12312</v>
      </c>
      <c r="F11" s="30">
        <v>11286</v>
      </c>
      <c r="G11" s="30">
        <v>10465.200000000001</v>
      </c>
    </row>
    <row r="12" spans="2:7" outlineLevel="1" x14ac:dyDescent="0.3">
      <c r="B12" s="18"/>
      <c r="C12" s="18" t="s">
        <v>89</v>
      </c>
      <c r="D12" s="30">
        <v>10650.8115</v>
      </c>
      <c r="E12" s="30">
        <v>13911.263999999999</v>
      </c>
      <c r="F12" s="30">
        <v>11689.325999999999</v>
      </c>
      <c r="G12" s="30">
        <v>10050.88824</v>
      </c>
    </row>
    <row r="13" spans="2:7" outlineLevel="1" x14ac:dyDescent="0.3">
      <c r="B13" s="18"/>
      <c r="C13" s="18" t="s">
        <v>90</v>
      </c>
      <c r="D13" s="30">
        <v>10416.145367249999</v>
      </c>
      <c r="E13" s="30">
        <v>15548.298623999999</v>
      </c>
      <c r="F13" s="30">
        <v>11976.148998000001</v>
      </c>
      <c r="G13" s="30">
        <v>9548.5988924639896</v>
      </c>
    </row>
    <row r="14" spans="2:7" outlineLevel="1" x14ac:dyDescent="0.3">
      <c r="B14" s="18"/>
      <c r="C14" s="18" t="s">
        <v>91</v>
      </c>
      <c r="D14" s="30">
        <v>10049.326449505899</v>
      </c>
      <c r="E14" s="30">
        <v>17143.707262463999</v>
      </c>
      <c r="F14" s="30">
        <v>12104.601563934</v>
      </c>
      <c r="G14" s="30">
        <v>8949.1223391765907</v>
      </c>
    </row>
    <row r="15" spans="2:7" outlineLevel="1" x14ac:dyDescent="0.3">
      <c r="B15" s="18"/>
      <c r="C15" s="18" t="s">
        <v>85</v>
      </c>
      <c r="D15" s="34">
        <v>35492.077761843699</v>
      </c>
      <c r="E15" s="34">
        <v>45261.069682613997</v>
      </c>
      <c r="F15" s="34">
        <v>38476.591715082403</v>
      </c>
      <c r="G15" s="34">
        <v>33821.859058989299</v>
      </c>
    </row>
    <row r="16" spans="2:7" x14ac:dyDescent="0.3">
      <c r="B16" t="s">
        <v>12</v>
      </c>
    </row>
    <row r="17" spans="2:2" x14ac:dyDescent="0.3">
      <c r="B17" t="s">
        <v>13</v>
      </c>
    </row>
    <row r="18" spans="2:2" x14ac:dyDescent="0.3">
      <c r="B18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A407-BFD4-44E1-A13B-2777A813119D}">
  <dimension ref="B1:G23"/>
  <sheetViews>
    <sheetView workbookViewId="0">
      <selection activeCell="C20" sqref="C20"/>
    </sheetView>
  </sheetViews>
  <sheetFormatPr defaultRowHeight="14.4" x14ac:dyDescent="0.3"/>
  <cols>
    <col min="2" max="2" width="14" customWidth="1"/>
    <col min="3" max="3" width="14.88671875" customWidth="1"/>
    <col min="4" max="4" width="12.21875" customWidth="1"/>
    <col min="5" max="7" width="10.5546875" bestFit="1" customWidth="1"/>
  </cols>
  <sheetData>
    <row r="1" spans="2:7" x14ac:dyDescent="0.3">
      <c r="B1" s="3" t="s">
        <v>62</v>
      </c>
      <c r="C1" s="23">
        <v>0.4</v>
      </c>
    </row>
    <row r="2" spans="2:7" x14ac:dyDescent="0.3">
      <c r="B2" s="3" t="s">
        <v>63</v>
      </c>
      <c r="C2" s="23">
        <v>12000</v>
      </c>
    </row>
    <row r="3" spans="2:7" x14ac:dyDescent="0.3">
      <c r="B3" s="3" t="s">
        <v>64</v>
      </c>
      <c r="C3" s="23">
        <v>0.05</v>
      </c>
    </row>
    <row r="4" spans="2:7" x14ac:dyDescent="0.3">
      <c r="B4" s="3" t="s">
        <v>65</v>
      </c>
      <c r="C4" s="23">
        <v>7.5</v>
      </c>
    </row>
    <row r="5" spans="2:7" x14ac:dyDescent="0.3">
      <c r="B5" s="3" t="s">
        <v>66</v>
      </c>
      <c r="C5" s="23">
        <v>6</v>
      </c>
    </row>
    <row r="6" spans="2:7" x14ac:dyDescent="0.3">
      <c r="B6" s="3" t="s">
        <v>69</v>
      </c>
      <c r="C6" s="23">
        <v>0.15</v>
      </c>
    </row>
    <row r="7" spans="2:7" x14ac:dyDescent="0.3">
      <c r="B7" s="3" t="s">
        <v>67</v>
      </c>
      <c r="C7" s="23">
        <v>0.05</v>
      </c>
    </row>
    <row r="8" spans="2:7" x14ac:dyDescent="0.3">
      <c r="B8" s="3" t="s">
        <v>68</v>
      </c>
      <c r="C8" s="23">
        <v>0.03</v>
      </c>
    </row>
    <row r="10" spans="2:7" x14ac:dyDescent="0.3">
      <c r="B10" s="3" t="s">
        <v>70</v>
      </c>
      <c r="C10" s="24">
        <v>1</v>
      </c>
      <c r="D10" s="25">
        <v>2</v>
      </c>
      <c r="E10" s="25">
        <v>3</v>
      </c>
      <c r="F10" s="24">
        <v>4</v>
      </c>
      <c r="G10" s="25">
        <v>5</v>
      </c>
    </row>
    <row r="11" spans="2:7" x14ac:dyDescent="0.3">
      <c r="B11" s="2" t="s">
        <v>71</v>
      </c>
      <c r="C11" s="27">
        <v>12000</v>
      </c>
      <c r="D11" s="26">
        <f>C11*(1+$C$3)</f>
        <v>12600</v>
      </c>
      <c r="E11" s="26">
        <f t="shared" ref="E11:G11" si="0">D11*(1+$C$3)</f>
        <v>13230</v>
      </c>
      <c r="F11" s="26">
        <f t="shared" si="0"/>
        <v>13891.5</v>
      </c>
      <c r="G11" s="26">
        <f t="shared" si="0"/>
        <v>14586.075000000001</v>
      </c>
    </row>
    <row r="12" spans="2:7" x14ac:dyDescent="0.3">
      <c r="B12" s="2" t="s">
        <v>72</v>
      </c>
      <c r="C12" s="26">
        <v>7.5</v>
      </c>
      <c r="D12" s="26">
        <f>C12*(1+$C$8)</f>
        <v>7.7250000000000005</v>
      </c>
      <c r="E12" s="26">
        <f t="shared" ref="E12:G12" si="1">D12*(1+$C$8)</f>
        <v>7.9567500000000004</v>
      </c>
      <c r="F12" s="26">
        <f t="shared" si="1"/>
        <v>8.1954525</v>
      </c>
      <c r="G12" s="26">
        <f t="shared" si="1"/>
        <v>8.4413160749999996</v>
      </c>
    </row>
    <row r="13" spans="2:7" x14ac:dyDescent="0.3">
      <c r="B13" s="2" t="s">
        <v>73</v>
      </c>
      <c r="C13" s="26">
        <v>6</v>
      </c>
      <c r="D13" s="26">
        <f>C13*(1+$C$7)</f>
        <v>6.3000000000000007</v>
      </c>
      <c r="E13" s="26">
        <f t="shared" ref="E13:G13" si="2">D13*(1+$C$7)</f>
        <v>6.6150000000000011</v>
      </c>
      <c r="F13" s="26">
        <f t="shared" si="2"/>
        <v>6.9457500000000012</v>
      </c>
      <c r="G13" s="26">
        <f t="shared" si="2"/>
        <v>7.2930375000000014</v>
      </c>
    </row>
    <row r="14" spans="2:7" x14ac:dyDescent="0.3">
      <c r="B14" s="2" t="s">
        <v>47</v>
      </c>
      <c r="C14" s="26">
        <f>C11*C12</f>
        <v>90000</v>
      </c>
      <c r="D14" s="26">
        <f t="shared" ref="D14:G14" si="3">D11*D12</f>
        <v>97335</v>
      </c>
      <c r="E14" s="26">
        <f t="shared" si="3"/>
        <v>105267.80250000001</v>
      </c>
      <c r="F14" s="26">
        <f t="shared" si="3"/>
        <v>113847.12840375</v>
      </c>
      <c r="G14" s="26">
        <f t="shared" si="3"/>
        <v>123125.66936865562</v>
      </c>
    </row>
    <row r="15" spans="2:7" x14ac:dyDescent="0.3">
      <c r="B15" s="2" t="s">
        <v>74</v>
      </c>
      <c r="C15" s="26">
        <f>C11*C13</f>
        <v>72000</v>
      </c>
      <c r="D15" s="26">
        <f t="shared" ref="D15:G15" si="4">D11*D13</f>
        <v>79380.000000000015</v>
      </c>
      <c r="E15" s="26">
        <f t="shared" si="4"/>
        <v>87516.450000000012</v>
      </c>
      <c r="F15" s="26">
        <f t="shared" si="4"/>
        <v>96486.886125000019</v>
      </c>
      <c r="G15" s="26">
        <f t="shared" si="4"/>
        <v>106376.79195281252</v>
      </c>
    </row>
    <row r="16" spans="2:7" x14ac:dyDescent="0.3">
      <c r="B16" s="2" t="s">
        <v>75</v>
      </c>
      <c r="C16" s="26">
        <f>C14-C15</f>
        <v>18000</v>
      </c>
      <c r="D16" s="26">
        <f t="shared" ref="D16:G16" si="5">D14-D15</f>
        <v>17954.999999999985</v>
      </c>
      <c r="E16" s="26">
        <f t="shared" si="5"/>
        <v>17751.352499999994</v>
      </c>
      <c r="F16" s="26">
        <f t="shared" si="5"/>
        <v>17360.242278749982</v>
      </c>
      <c r="G16" s="26">
        <f t="shared" si="5"/>
        <v>16748.877415843104</v>
      </c>
    </row>
    <row r="17" spans="2:7" x14ac:dyDescent="0.3">
      <c r="B17" s="2" t="s">
        <v>76</v>
      </c>
      <c r="C17" s="26">
        <f>C16*$C$1</f>
        <v>7200</v>
      </c>
      <c r="D17" s="26">
        <f t="shared" ref="D17:G17" si="6">D16*$C$1</f>
        <v>7181.9999999999945</v>
      </c>
      <c r="E17" s="26">
        <f t="shared" si="6"/>
        <v>7100.5409999999974</v>
      </c>
      <c r="F17" s="26">
        <f t="shared" si="6"/>
        <v>6944.0969114999934</v>
      </c>
      <c r="G17" s="26">
        <f t="shared" si="6"/>
        <v>6699.5509663372422</v>
      </c>
    </row>
    <row r="18" spans="2:7" x14ac:dyDescent="0.3">
      <c r="B18" s="2" t="s">
        <v>77</v>
      </c>
      <c r="C18" s="28">
        <f>C16-C17</f>
        <v>10800</v>
      </c>
      <c r="D18" s="28">
        <f t="shared" ref="D18:G18" si="7">D16-D17</f>
        <v>10772.999999999991</v>
      </c>
      <c r="E18" s="28">
        <f t="shared" si="7"/>
        <v>10650.811499999996</v>
      </c>
      <c r="F18" s="28">
        <f t="shared" si="7"/>
        <v>10416.145367249988</v>
      </c>
      <c r="G18" s="28">
        <f t="shared" si="7"/>
        <v>10049.326449505861</v>
      </c>
    </row>
    <row r="20" spans="2:7" x14ac:dyDescent="0.3">
      <c r="B20" s="1" t="s">
        <v>84</v>
      </c>
      <c r="C20" s="29">
        <f>NPV(Interest_Rate,C18:G18)</f>
        <v>35492.07776184375</v>
      </c>
    </row>
    <row r="23" spans="2:7" x14ac:dyDescent="0.3">
      <c r="C23" t="str">
        <f ca="1">_xlfn.FORMULATEXT(C20)</f>
        <v>=NPV(Interest_Rate,C18:G18)</v>
      </c>
    </row>
  </sheetData>
  <scenarios current="0" sqref="C18:G18 C20">
    <scenario name="Best" locked="1" count="3" user="Triveni" comment="Created by Triveni on 29-03-2026">
      <inputCells r="C2" val="20000" numFmtId="2"/>
      <inputCells r="C3" val="0.2" numFmtId="2"/>
      <inputCells r="C4" val="0.1" numFmtId="2"/>
    </scenario>
    <scenario name="Most Probably" locked="1" count="3" user="Triveni" comment="Created by Triveni on 29-03-2026">
      <inputCells r="C2" val="10000" numFmtId="2"/>
      <inputCells r="C3" val="0.1" numFmtId="2"/>
      <inputCells r="C4" val="0.075" numFmtId="2"/>
    </scenario>
    <scenario name="Worst" locked="1" count="3" user="Triveni" comment="Created by Triveni on 29-03-2026">
      <inputCells r="C2" val="5000" numFmtId="2"/>
      <inputCells r="C3" val="0.02" numFmtId="2"/>
      <inputCells r="C4" val="0.05" numFmtId="2"/>
    </scenario>
  </scenarios>
  <pageMargins left="0.7" right="0.7" top="0.75" bottom="0.75" header="0.3" footer="0.3"/>
  <ignoredErrors>
    <ignoredError sqref="C17 D17:G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27</vt:i4>
      </vt:variant>
    </vt:vector>
  </HeadingPairs>
  <TitlesOfParts>
    <vt:vector size="35" baseType="lpstr">
      <vt:lpstr>Scenario Summary Sheet1</vt:lpstr>
      <vt:lpstr>Scenario Summary Sheet2</vt:lpstr>
      <vt:lpstr>Scenario Summary Sheet3</vt:lpstr>
      <vt:lpstr>Sheet1</vt:lpstr>
      <vt:lpstr>Sheet2</vt:lpstr>
      <vt:lpstr>Sheet3</vt:lpstr>
      <vt:lpstr>Scenario Summary</vt:lpstr>
      <vt:lpstr>Sheet4</vt:lpstr>
      <vt:lpstr>Accomodation</vt:lpstr>
      <vt:lpstr>Ad_Spend</vt:lpstr>
      <vt:lpstr>Budget</vt:lpstr>
      <vt:lpstr>Conversion_Rate_Percentages</vt:lpstr>
      <vt:lpstr>Cost_Growth</vt:lpstr>
      <vt:lpstr>Fixed_Cost</vt:lpstr>
      <vt:lpstr>Food</vt:lpstr>
      <vt:lpstr>Interest_Rate</vt:lpstr>
      <vt:lpstr>Leads_Generated</vt:lpstr>
      <vt:lpstr>Mis</vt:lpstr>
      <vt:lpstr>Price_Growth</vt:lpstr>
      <vt:lpstr>Profit_Formula</vt:lpstr>
      <vt:lpstr>Revenue</vt:lpstr>
      <vt:lpstr>Revenue_per_Sale</vt:lpstr>
      <vt:lpstr>ROI_Percentages</vt:lpstr>
      <vt:lpstr>Sales_Growth</vt:lpstr>
      <vt:lpstr>Sales_Price____Unit</vt:lpstr>
      <vt:lpstr>Spare_Cash</vt:lpstr>
      <vt:lpstr>Tax_Rate</vt:lpstr>
      <vt:lpstr>Tickets</vt:lpstr>
      <vt:lpstr>Total_Expense</vt:lpstr>
      <vt:lpstr>Train_Travel</vt:lpstr>
      <vt:lpstr>Unit_Sold</vt:lpstr>
      <vt:lpstr>Variable_Cost___Unit</vt:lpstr>
      <vt:lpstr>Year_1_Cost</vt:lpstr>
      <vt:lpstr>Year_1_Price</vt:lpstr>
      <vt:lpstr>Year_1_Sales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2026-02-09T08:42:16Z</dcterms:created>
  <dcterms:modified xsi:type="dcterms:W3CDTF">2026-03-29T12:37:46Z</dcterms:modified>
</cp:coreProperties>
</file>
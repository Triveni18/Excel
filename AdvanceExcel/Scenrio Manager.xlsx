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 Practice\For Golu\"/>
    </mc:Choice>
  </mc:AlternateContent>
  <xr:revisionPtr revIDLastSave="0" documentId="13_ncr:1_{79040C2D-3E7B-4D2A-928C-5DF6A58663BD}" xr6:coauthVersionLast="47" xr6:coauthVersionMax="47" xr10:uidLastSave="{00000000-0000-0000-0000-000000000000}"/>
  <bookViews>
    <workbookView xWindow="-108" yWindow="-108" windowWidth="23256" windowHeight="13896" firstSheet="1" activeTab="4" xr2:uid="{DFFBC060-66F1-4E5C-BD70-1A334413188F}"/>
  </bookViews>
  <sheets>
    <sheet name="Scenario Summary Sheet3" sheetId="5" r:id="rId1"/>
    <sheet name="Scenario Summary Sheet1" sheetId="6" r:id="rId2"/>
    <sheet name="Sheet3" sheetId="3" r:id="rId3"/>
    <sheet name="Sheet1" sheetId="1" r:id="rId4"/>
    <sheet name="Scenario Summary" sheetId="9" r:id="rId5"/>
    <sheet name="Sheet2" sheetId="7" r:id="rId6"/>
  </sheets>
  <definedNames>
    <definedName name="Accomodation">Sheet3!$B$8</definedName>
    <definedName name="Ad_Spend">Sheet2!$B$2</definedName>
    <definedName name="Budget">Sheet3!$B$4</definedName>
    <definedName name="Conversion_Rate_Percentages">Sheet2!$B$4</definedName>
    <definedName name="Fixed_Cost">Sheet1!$B$5</definedName>
    <definedName name="Food">Sheet3!$B$9</definedName>
    <definedName name="Leads_Generated">Sheet2!$B$3</definedName>
    <definedName name="Mis">Sheet3!$B$11</definedName>
    <definedName name="Profit_Formula">Sheet1!$B$6</definedName>
    <definedName name="Revenue">Sheet2!$B$6</definedName>
    <definedName name="Revenue_per_Sale">Sheet2!$B$5</definedName>
    <definedName name="ROI_Percentages">Sheet2!$B$7</definedName>
    <definedName name="Sales_Price____Unit">Sheet1!$B$2</definedName>
    <definedName name="Spare_Cash">Sheet3!$B$14</definedName>
    <definedName name="Tickets">Sheet3!$B$10</definedName>
    <definedName name="Total_Expense">Sheet3!$B$13</definedName>
    <definedName name="Train_Travel">Sheet3!$B$7</definedName>
    <definedName name="Unit_Sold">Sheet1!$B$3</definedName>
    <definedName name="Variable_Cost___Unit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7" l="1"/>
  <c r="B7" i="7" s="1"/>
  <c r="B13" i="3"/>
  <c r="B14" i="3" s="1"/>
  <c r="B6" i="1"/>
</calcChain>
</file>

<file path=xl/sharedStrings.xml><?xml version="1.0" encoding="utf-8"?>
<sst xmlns="http://schemas.openxmlformats.org/spreadsheetml/2006/main" count="92" uniqueCount="62">
  <si>
    <t>Sales Price  / Unit</t>
  </si>
  <si>
    <t>Unit Sold</t>
  </si>
  <si>
    <t>Variable Cost / Unit</t>
  </si>
  <si>
    <t>Fixed Cost</t>
  </si>
  <si>
    <t>Profit Formula</t>
  </si>
  <si>
    <t>Item</t>
  </si>
  <si>
    <t>Value</t>
  </si>
  <si>
    <t>Best Case</t>
  </si>
  <si>
    <t>Created by Triveni on 09-02-2026</t>
  </si>
  <si>
    <t>Scenario Summary</t>
  </si>
  <si>
    <t>Changing Cells:</t>
  </si>
  <si>
    <t>Current Values:</t>
  </si>
  <si>
    <t>Notes:  Current Values column represents values of changing cells at</t>
  </si>
  <si>
    <t>time Scenario Summary Report was created.  Changing cells for each</t>
  </si>
  <si>
    <t>scenario are highlighted in gray.</t>
  </si>
  <si>
    <t>Budget</t>
  </si>
  <si>
    <t>Input</t>
  </si>
  <si>
    <t xml:space="preserve"> </t>
  </si>
  <si>
    <t>Train Travel</t>
  </si>
  <si>
    <t>Accomodation</t>
  </si>
  <si>
    <t>Food</t>
  </si>
  <si>
    <t>Tickets</t>
  </si>
  <si>
    <t>Total Expense</t>
  </si>
  <si>
    <t>Spare Cash</t>
  </si>
  <si>
    <t>Mis</t>
  </si>
  <si>
    <t>Original</t>
  </si>
  <si>
    <t>Second</t>
  </si>
  <si>
    <t>Third</t>
  </si>
  <si>
    <t>Result Cells:</t>
  </si>
  <si>
    <t>Train_Travel</t>
  </si>
  <si>
    <t>Spare_Cash</t>
  </si>
  <si>
    <t>Worst Case</t>
  </si>
  <si>
    <t>Expected</t>
  </si>
  <si>
    <t>Sales_Price____Unit</t>
  </si>
  <si>
    <t>Unit_Sold</t>
  </si>
  <si>
    <t>Variable_Cost___Unit</t>
  </si>
  <si>
    <t>Fixed_Cost</t>
  </si>
  <si>
    <t>Profit_Formula</t>
  </si>
  <si>
    <t>Best_Case</t>
  </si>
  <si>
    <t>Worst_Case</t>
  </si>
  <si>
    <t>Input_Output</t>
  </si>
  <si>
    <t>Base Case</t>
  </si>
  <si>
    <t>Notes</t>
  </si>
  <si>
    <t>Ad Spend</t>
  </si>
  <si>
    <t>Leads Generated</t>
  </si>
  <si>
    <t>Conversion Rate Percentages</t>
  </si>
  <si>
    <t>Revenue per Sale</t>
  </si>
  <si>
    <t>Revenue</t>
  </si>
  <si>
    <t>ROI Percentages</t>
  </si>
  <si>
    <t>Changing cell</t>
  </si>
  <si>
    <t>Fixed</t>
  </si>
  <si>
    <t>Formula</t>
  </si>
  <si>
    <t>Aggressive Campaign</t>
  </si>
  <si>
    <t>Balanced Campaign</t>
  </si>
  <si>
    <t>Conservative Campaign</t>
  </si>
  <si>
    <t>Ad_Spend</t>
  </si>
  <si>
    <t>Leads_Generated</t>
  </si>
  <si>
    <t>ROI_Percentages</t>
  </si>
  <si>
    <t>Balanced</t>
  </si>
  <si>
    <t>Aggresive</t>
  </si>
  <si>
    <t>Conservative</t>
  </si>
  <si>
    <t>Created by Triveni on 10-02-2026
Modified by Triveni on 10-02-2026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</si>
</sst>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0" fillId="0" borderId="3" xfId="0" applyBorder="1"/>
    <xf numFmtId="0" fontId="2" fillId="2" borderId="4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5" xfId="0" applyBorder="1"/>
    <xf numFmtId="0" fontId="3" fillId="3" borderId="0" xfId="0" applyFont="1" applyFill="1" applyAlignment="1">
      <alignment horizontal="left"/>
    </xf>
    <xf numFmtId="0" fontId="4" fillId="3" borderId="5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right"/>
    </xf>
    <xf numFmtId="0" fontId="0" fillId="4" borderId="0" xfId="0" applyFill="1"/>
    <xf numFmtId="0" fontId="6" fillId="0" borderId="0" xfId="0" applyFont="1" applyAlignment="1">
      <alignment vertical="top" wrapText="1"/>
    </xf>
    <xf numFmtId="0" fontId="3" fillId="3" borderId="3" xfId="0" applyFont="1" applyFill="1" applyBorder="1" applyAlignment="1">
      <alignment horizontal="left"/>
    </xf>
    <xf numFmtId="0" fontId="0" fillId="0" borderId="1" xfId="0" applyFill="1" applyBorder="1"/>
    <xf numFmtId="0" fontId="1" fillId="0" borderId="1" xfId="0" applyFont="1" applyBorder="1" applyAlignment="1">
      <alignment vertical="center"/>
    </xf>
    <xf numFmtId="0" fontId="2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left"/>
    </xf>
    <xf numFmtId="0" fontId="0" fillId="0" borderId="1" xfId="0" applyFill="1" applyBorder="1" applyAlignment="1"/>
    <xf numFmtId="0" fontId="6" fillId="0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left"/>
    </xf>
    <xf numFmtId="0" fontId="0" fillId="4" borderId="1" xfId="0" applyFill="1" applyBorder="1" applyAlignme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7682-AF73-45EC-B32A-062CD306D081}">
  <sheetPr>
    <outlinePr summaryBelow="0"/>
  </sheetPr>
  <dimension ref="B1:G15"/>
  <sheetViews>
    <sheetView showGridLines="0" workbookViewId="0">
      <selection activeCell="G23" sqref="G23"/>
    </sheetView>
  </sheetViews>
  <sheetFormatPr defaultRowHeight="14.4" outlineLevelRow="1" outlineLevelCol="1" x14ac:dyDescent="0.3"/>
  <cols>
    <col min="3" max="3" width="13.21875" bestFit="1" customWidth="1"/>
    <col min="4" max="7" width="12.6640625" bestFit="1" customWidth="1" outlineLevel="1"/>
  </cols>
  <sheetData>
    <row r="1" spans="2:7" ht="15" thickBot="1" x14ac:dyDescent="0.35"/>
    <row r="2" spans="2:7" ht="15.6" x14ac:dyDescent="0.3">
      <c r="B2" s="6" t="s">
        <v>9</v>
      </c>
      <c r="C2" s="6"/>
      <c r="D2" s="10"/>
      <c r="E2" s="10"/>
      <c r="F2" s="10"/>
      <c r="G2" s="10"/>
    </row>
    <row r="3" spans="2:7" ht="15.6" collapsed="1" x14ac:dyDescent="0.3">
      <c r="B3" s="5"/>
      <c r="C3" s="5"/>
      <c r="D3" s="11" t="s">
        <v>11</v>
      </c>
      <c r="E3" s="11" t="s">
        <v>25</v>
      </c>
      <c r="F3" s="11" t="s">
        <v>26</v>
      </c>
      <c r="G3" s="11" t="s">
        <v>27</v>
      </c>
    </row>
    <row r="4" spans="2:7" ht="21.6" hidden="1" outlineLevel="1" x14ac:dyDescent="0.3">
      <c r="B4" s="8"/>
      <c r="C4" s="8"/>
      <c r="E4" s="13" t="s">
        <v>8</v>
      </c>
      <c r="F4" s="13" t="s">
        <v>8</v>
      </c>
      <c r="G4" s="13" t="s">
        <v>8</v>
      </c>
    </row>
    <row r="5" spans="2:7" x14ac:dyDescent="0.3">
      <c r="B5" s="9" t="s">
        <v>10</v>
      </c>
      <c r="C5" s="9"/>
      <c r="D5" s="7"/>
      <c r="E5" s="7"/>
      <c r="F5" s="7"/>
      <c r="G5" s="7"/>
    </row>
    <row r="6" spans="2:7" outlineLevel="1" x14ac:dyDescent="0.3">
      <c r="B6" s="8"/>
      <c r="C6" s="8" t="s">
        <v>29</v>
      </c>
      <c r="D6">
        <v>65</v>
      </c>
      <c r="E6" s="12">
        <v>65</v>
      </c>
      <c r="F6" s="12">
        <v>70</v>
      </c>
      <c r="G6" s="12">
        <v>85</v>
      </c>
    </row>
    <row r="7" spans="2:7" outlineLevel="1" x14ac:dyDescent="0.3">
      <c r="B7" s="8"/>
      <c r="C7" s="8" t="s">
        <v>19</v>
      </c>
      <c r="D7">
        <v>200</v>
      </c>
      <c r="E7" s="12">
        <v>200</v>
      </c>
      <c r="F7" s="12">
        <v>220</v>
      </c>
      <c r="G7" s="12">
        <v>220</v>
      </c>
    </row>
    <row r="8" spans="2:7" outlineLevel="1" x14ac:dyDescent="0.3">
      <c r="B8" s="8"/>
      <c r="C8" s="8" t="s">
        <v>20</v>
      </c>
      <c r="D8">
        <v>100</v>
      </c>
      <c r="E8" s="12">
        <v>100</v>
      </c>
      <c r="F8" s="12">
        <v>110</v>
      </c>
      <c r="G8" s="12">
        <v>130</v>
      </c>
    </row>
    <row r="9" spans="2:7" outlineLevel="1" x14ac:dyDescent="0.3">
      <c r="B9" s="8"/>
      <c r="C9" s="8" t="s">
        <v>21</v>
      </c>
      <c r="D9">
        <v>50</v>
      </c>
      <c r="E9" s="12">
        <v>50</v>
      </c>
      <c r="F9" s="12">
        <v>60</v>
      </c>
      <c r="G9" s="12">
        <v>60</v>
      </c>
    </row>
    <row r="10" spans="2:7" outlineLevel="1" x14ac:dyDescent="0.3">
      <c r="B10" s="8"/>
      <c r="C10" s="8" t="s">
        <v>24</v>
      </c>
      <c r="D10">
        <v>70</v>
      </c>
      <c r="E10" s="12">
        <v>70</v>
      </c>
      <c r="F10" s="12">
        <v>80</v>
      </c>
      <c r="G10" s="12">
        <v>80</v>
      </c>
    </row>
    <row r="11" spans="2:7" x14ac:dyDescent="0.3">
      <c r="B11" s="9" t="s">
        <v>28</v>
      </c>
      <c r="C11" s="9"/>
      <c r="D11" s="7"/>
      <c r="E11" s="7"/>
      <c r="F11" s="7"/>
      <c r="G11" s="7"/>
    </row>
    <row r="12" spans="2:7" ht="15" outlineLevel="1" thickBot="1" x14ac:dyDescent="0.35">
      <c r="B12" s="14"/>
      <c r="C12" s="14" t="s">
        <v>30</v>
      </c>
      <c r="D12" s="4">
        <v>215</v>
      </c>
      <c r="E12" s="4">
        <v>215</v>
      </c>
      <c r="F12" s="4">
        <v>160</v>
      </c>
      <c r="G12" s="4">
        <v>125</v>
      </c>
    </row>
    <row r="13" spans="2:7" x14ac:dyDescent="0.3">
      <c r="B13" t="s">
        <v>12</v>
      </c>
    </row>
    <row r="14" spans="2:7" x14ac:dyDescent="0.3">
      <c r="B14" t="s">
        <v>13</v>
      </c>
    </row>
    <row r="15" spans="2:7" x14ac:dyDescent="0.3">
      <c r="B15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AE4D0-0C5B-472E-99DF-84FAE0CEC631}">
  <sheetPr>
    <outlinePr summaryBelow="0"/>
  </sheetPr>
  <dimension ref="B1:G14"/>
  <sheetViews>
    <sheetView showGridLines="0" workbookViewId="0">
      <selection activeCell="G15" sqref="G15"/>
    </sheetView>
  </sheetViews>
  <sheetFormatPr defaultRowHeight="14.4" outlineLevelRow="1" outlineLevelCol="1" x14ac:dyDescent="0.3"/>
  <cols>
    <col min="3" max="3" width="18.5546875" bestFit="1" customWidth="1"/>
    <col min="4" max="7" width="12.6640625" bestFit="1" customWidth="1" outlineLevel="1"/>
  </cols>
  <sheetData>
    <row r="1" spans="2:7" ht="15" thickBot="1" x14ac:dyDescent="0.35"/>
    <row r="2" spans="2:7" ht="15.6" x14ac:dyDescent="0.3">
      <c r="B2" s="6" t="s">
        <v>9</v>
      </c>
      <c r="C2" s="6"/>
      <c r="D2" s="10"/>
      <c r="E2" s="10"/>
      <c r="F2" s="10"/>
      <c r="G2" s="10"/>
    </row>
    <row r="3" spans="2:7" ht="15.6" collapsed="1" x14ac:dyDescent="0.3">
      <c r="B3" s="5"/>
      <c r="C3" s="5"/>
      <c r="D3" s="11" t="s">
        <v>11</v>
      </c>
      <c r="E3" s="11" t="s">
        <v>32</v>
      </c>
      <c r="F3" s="11" t="s">
        <v>38</v>
      </c>
      <c r="G3" s="11" t="s">
        <v>39</v>
      </c>
    </row>
    <row r="4" spans="2:7" ht="21.6" hidden="1" outlineLevel="1" x14ac:dyDescent="0.3">
      <c r="B4" s="8"/>
      <c r="C4" s="8"/>
      <c r="E4" s="13" t="s">
        <v>8</v>
      </c>
      <c r="F4" s="13" t="s">
        <v>8</v>
      </c>
      <c r="G4" s="13" t="s">
        <v>8</v>
      </c>
    </row>
    <row r="5" spans="2:7" x14ac:dyDescent="0.3">
      <c r="B5" s="9" t="s">
        <v>10</v>
      </c>
      <c r="C5" s="9"/>
      <c r="D5" s="7"/>
      <c r="E5" s="7"/>
      <c r="F5" s="7"/>
      <c r="G5" s="7"/>
    </row>
    <row r="6" spans="2:7" outlineLevel="1" x14ac:dyDescent="0.3">
      <c r="B6" s="8"/>
      <c r="C6" s="8" t="s">
        <v>33</v>
      </c>
      <c r="D6">
        <v>500</v>
      </c>
      <c r="E6" s="12">
        <v>500</v>
      </c>
      <c r="F6" s="12">
        <v>620</v>
      </c>
      <c r="G6" s="12">
        <v>400</v>
      </c>
    </row>
    <row r="7" spans="2:7" outlineLevel="1" x14ac:dyDescent="0.3">
      <c r="B7" s="8"/>
      <c r="C7" s="8" t="s">
        <v>34</v>
      </c>
      <c r="D7">
        <v>100</v>
      </c>
      <c r="E7" s="12">
        <v>100</v>
      </c>
      <c r="F7" s="12">
        <v>250</v>
      </c>
      <c r="G7" s="12">
        <v>90</v>
      </c>
    </row>
    <row r="8" spans="2:7" outlineLevel="1" x14ac:dyDescent="0.3">
      <c r="B8" s="8"/>
      <c r="C8" s="8" t="s">
        <v>35</v>
      </c>
      <c r="D8">
        <v>300</v>
      </c>
      <c r="E8" s="12">
        <v>300</v>
      </c>
      <c r="F8" s="12">
        <v>250</v>
      </c>
      <c r="G8" s="12">
        <v>350</v>
      </c>
    </row>
    <row r="9" spans="2:7" outlineLevel="1" x14ac:dyDescent="0.3">
      <c r="B9" s="8"/>
      <c r="C9" s="8" t="s">
        <v>36</v>
      </c>
      <c r="D9">
        <v>10000</v>
      </c>
      <c r="E9" s="12">
        <v>10000</v>
      </c>
      <c r="F9" s="12">
        <v>10000</v>
      </c>
      <c r="G9" s="12">
        <v>10000</v>
      </c>
    </row>
    <row r="10" spans="2:7" x14ac:dyDescent="0.3">
      <c r="B10" s="9" t="s">
        <v>28</v>
      </c>
      <c r="C10" s="9"/>
      <c r="D10" s="7"/>
      <c r="E10" s="7"/>
      <c r="F10" s="7"/>
      <c r="G10" s="7"/>
    </row>
    <row r="11" spans="2:7" ht="15" outlineLevel="1" thickBot="1" x14ac:dyDescent="0.35">
      <c r="B11" s="14"/>
      <c r="C11" s="14" t="s">
        <v>37</v>
      </c>
      <c r="D11" s="4">
        <v>10000</v>
      </c>
      <c r="E11" s="4">
        <v>10000</v>
      </c>
      <c r="F11" s="4">
        <v>82500</v>
      </c>
      <c r="G11" s="4">
        <v>-5500</v>
      </c>
    </row>
    <row r="12" spans="2:7" x14ac:dyDescent="0.3">
      <c r="B12" t="s">
        <v>12</v>
      </c>
    </row>
    <row r="13" spans="2:7" x14ac:dyDescent="0.3">
      <c r="B13" t="s">
        <v>13</v>
      </c>
    </row>
    <row r="14" spans="2:7" x14ac:dyDescent="0.3">
      <c r="B14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E379A-97F8-4417-8C8F-291C376599CC}">
  <dimension ref="A4:D14"/>
  <sheetViews>
    <sheetView workbookViewId="0">
      <selection activeCell="B14" sqref="B14"/>
    </sheetView>
  </sheetViews>
  <sheetFormatPr defaultRowHeight="14.4" x14ac:dyDescent="0.3"/>
  <cols>
    <col min="1" max="1" width="14.21875" customWidth="1"/>
  </cols>
  <sheetData>
    <row r="4" spans="1:4" x14ac:dyDescent="0.3">
      <c r="A4" s="3" t="s">
        <v>15</v>
      </c>
      <c r="B4" s="2">
        <v>700</v>
      </c>
    </row>
    <row r="5" spans="1:4" x14ac:dyDescent="0.3">
      <c r="A5" t="s">
        <v>17</v>
      </c>
    </row>
    <row r="6" spans="1:4" x14ac:dyDescent="0.3">
      <c r="A6" s="1" t="s">
        <v>16</v>
      </c>
    </row>
    <row r="7" spans="1:4" x14ac:dyDescent="0.3">
      <c r="A7" s="3" t="s">
        <v>18</v>
      </c>
      <c r="B7" s="2">
        <v>65</v>
      </c>
    </row>
    <row r="8" spans="1:4" x14ac:dyDescent="0.3">
      <c r="A8" s="3" t="s">
        <v>19</v>
      </c>
      <c r="B8" s="2">
        <v>200</v>
      </c>
    </row>
    <row r="9" spans="1:4" x14ac:dyDescent="0.3">
      <c r="A9" s="3" t="s">
        <v>20</v>
      </c>
      <c r="B9" s="2">
        <v>100</v>
      </c>
      <c r="D9" t="s">
        <v>17</v>
      </c>
    </row>
    <row r="10" spans="1:4" x14ac:dyDescent="0.3">
      <c r="A10" s="3" t="s">
        <v>21</v>
      </c>
      <c r="B10" s="2">
        <v>50</v>
      </c>
    </row>
    <row r="11" spans="1:4" x14ac:dyDescent="0.3">
      <c r="A11" s="3" t="s">
        <v>24</v>
      </c>
      <c r="B11" s="2">
        <v>70</v>
      </c>
    </row>
    <row r="13" spans="1:4" x14ac:dyDescent="0.3">
      <c r="A13" s="3" t="s">
        <v>22</v>
      </c>
      <c r="B13" s="2">
        <f>B7+B8+B9+B10+B11</f>
        <v>485</v>
      </c>
    </row>
    <row r="14" spans="1:4" x14ac:dyDescent="0.3">
      <c r="A14" s="3" t="s">
        <v>23</v>
      </c>
      <c r="B14" s="2">
        <f>B4-B13</f>
        <v>215</v>
      </c>
    </row>
  </sheetData>
  <scenarios current="0" show="0" sqref="B14">
    <scenario name="Original" locked="1" count="5" user="Triveni" comment="Created by Triveni on 09-02-2026">
      <inputCells r="B7" val="65"/>
      <inputCells r="B8" val="200"/>
      <inputCells r="B9" val="100"/>
      <inputCells r="B10" val="50"/>
      <inputCells r="B11" val="70"/>
    </scenario>
    <scenario name="Second" locked="1" count="5" user="Triveni" comment="Created by Triveni on 09-02-2026">
      <inputCells r="B7" val="70"/>
      <inputCells r="B8" val="220"/>
      <inputCells r="B9" val="110"/>
      <inputCells r="B10" val="60"/>
      <inputCells r="B11" val="80"/>
    </scenario>
    <scenario name="Third" locked="1" count="5" user="Triveni" comment="Created by Triveni on 09-02-2026">
      <inputCells r="B7" val="85"/>
      <inputCells r="B8" val="220"/>
      <inputCells r="B9" val="130"/>
      <inputCells r="B10" val="60"/>
      <inputCells r="B11" val="8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FD759-83AD-4973-A6D0-DC90F1A1042F}">
  <dimension ref="A1:F6"/>
  <sheetViews>
    <sheetView workbookViewId="0">
      <selection activeCell="B6" sqref="B6"/>
    </sheetView>
  </sheetViews>
  <sheetFormatPr defaultRowHeight="14.4" x14ac:dyDescent="0.3"/>
  <cols>
    <col min="1" max="1" width="20.6640625" customWidth="1"/>
    <col min="5" max="5" width="10.5546875" customWidth="1"/>
  </cols>
  <sheetData>
    <row r="1" spans="1:6" x14ac:dyDescent="0.3">
      <c r="A1" s="2" t="s">
        <v>5</v>
      </c>
      <c r="B1" s="2" t="s">
        <v>6</v>
      </c>
      <c r="D1" s="2" t="s">
        <v>7</v>
      </c>
      <c r="E1" s="2" t="s">
        <v>31</v>
      </c>
      <c r="F1" s="2" t="s">
        <v>32</v>
      </c>
    </row>
    <row r="2" spans="1:6" x14ac:dyDescent="0.3">
      <c r="A2" s="2" t="s">
        <v>0</v>
      </c>
      <c r="B2" s="2">
        <v>500</v>
      </c>
      <c r="D2" s="2">
        <v>620</v>
      </c>
      <c r="E2" s="2">
        <v>400</v>
      </c>
      <c r="F2" s="2">
        <v>500</v>
      </c>
    </row>
    <row r="3" spans="1:6" x14ac:dyDescent="0.3">
      <c r="A3" s="2" t="s">
        <v>1</v>
      </c>
      <c r="B3" s="2">
        <v>100</v>
      </c>
      <c r="D3" s="2">
        <v>250</v>
      </c>
      <c r="E3" s="2">
        <v>90</v>
      </c>
      <c r="F3" s="2">
        <v>100</v>
      </c>
    </row>
    <row r="4" spans="1:6" x14ac:dyDescent="0.3">
      <c r="A4" s="2" t="s">
        <v>2</v>
      </c>
      <c r="B4" s="2">
        <v>300</v>
      </c>
      <c r="D4" s="2">
        <v>250</v>
      </c>
      <c r="E4" s="2">
        <v>350</v>
      </c>
      <c r="F4" s="2">
        <v>300</v>
      </c>
    </row>
    <row r="5" spans="1:6" x14ac:dyDescent="0.3">
      <c r="A5" s="2" t="s">
        <v>3</v>
      </c>
      <c r="B5" s="2">
        <v>10000</v>
      </c>
      <c r="D5" s="2">
        <v>10000</v>
      </c>
      <c r="E5" s="2">
        <v>10000</v>
      </c>
      <c r="F5" s="2">
        <v>10000</v>
      </c>
    </row>
    <row r="6" spans="1:6" x14ac:dyDescent="0.3">
      <c r="A6" s="3" t="s">
        <v>4</v>
      </c>
      <c r="B6" s="2">
        <f>(B2*B3)-(B4*B3+B5)</f>
        <v>10000</v>
      </c>
      <c r="D6" s="2"/>
      <c r="E6" s="2"/>
      <c r="F6" s="2"/>
    </row>
  </sheetData>
  <scenarios current="0" sqref="B6">
    <scenario name="Expected" locked="1" count="4" user="Triveni" comment="Created by Triveni on 09-02-2026">
      <inputCells r="B2" val="500"/>
      <inputCells r="B3" val="100"/>
      <inputCells r="B4" val="300"/>
      <inputCells r="B5" val="10000"/>
    </scenario>
    <scenario name="Best_Case" locked="1" count="4" user="Triveni" comment="Created by Triveni on 09-02-2026">
      <inputCells r="B2" val="620"/>
      <inputCells r="B3" val="250"/>
      <inputCells r="B4" val="250"/>
      <inputCells r="B5" val="10000"/>
    </scenario>
    <scenario name="Worst_Case" locked="1" count="4" user="Triveni" comment="Created by Triveni on 09-02-2026">
      <inputCells r="B2" val="400"/>
      <inputCells r="B3" val="90"/>
      <inputCells r="B4" val="350"/>
      <inputCells r="B5" val="10000"/>
    </scenario>
  </scenario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EEC00-1B29-48B2-A252-2F127EEBDA47}">
  <sheetPr>
    <outlinePr summaryBelow="0"/>
  </sheetPr>
  <dimension ref="B2:G12"/>
  <sheetViews>
    <sheetView showGridLines="0" tabSelected="1" workbookViewId="0">
      <selection activeCell="E15" sqref="E15"/>
    </sheetView>
  </sheetViews>
  <sheetFormatPr defaultRowHeight="14.4" outlineLevelRow="1" outlineLevelCol="1" x14ac:dyDescent="0.3"/>
  <cols>
    <col min="2" max="2" width="25.77734375" customWidth="1"/>
    <col min="3" max="3" width="15.5546875" bestFit="1" customWidth="1"/>
    <col min="4" max="7" width="12.6640625" bestFit="1" customWidth="1" outlineLevel="1"/>
  </cols>
  <sheetData>
    <row r="2" spans="2:7" ht="15.6" x14ac:dyDescent="0.3">
      <c r="B2" s="17" t="s">
        <v>9</v>
      </c>
      <c r="C2" s="17"/>
      <c r="D2" s="18"/>
      <c r="E2" s="18"/>
      <c r="F2" s="18"/>
      <c r="G2" s="18"/>
    </row>
    <row r="3" spans="2:7" ht="15.6" collapsed="1" x14ac:dyDescent="0.3">
      <c r="B3" s="17"/>
      <c r="C3" s="17"/>
      <c r="D3" s="18" t="s">
        <v>11</v>
      </c>
      <c r="E3" s="18" t="s">
        <v>58</v>
      </c>
      <c r="F3" s="18" t="s">
        <v>59</v>
      </c>
      <c r="G3" s="18" t="s">
        <v>60</v>
      </c>
    </row>
    <row r="4" spans="2:7" ht="43.2" hidden="1" outlineLevel="1" x14ac:dyDescent="0.3">
      <c r="B4" s="19"/>
      <c r="C4" s="19"/>
      <c r="D4" s="20"/>
      <c r="E4" s="21" t="s">
        <v>61</v>
      </c>
      <c r="F4" s="21" t="s">
        <v>61</v>
      </c>
      <c r="G4" s="21" t="s">
        <v>61</v>
      </c>
    </row>
    <row r="5" spans="2:7" x14ac:dyDescent="0.3">
      <c r="B5" s="22" t="s">
        <v>10</v>
      </c>
      <c r="C5" s="22"/>
      <c r="D5" s="20"/>
      <c r="E5" s="20"/>
      <c r="F5" s="20"/>
      <c r="G5" s="20"/>
    </row>
    <row r="6" spans="2:7" outlineLevel="1" x14ac:dyDescent="0.3">
      <c r="B6" s="19"/>
      <c r="C6" s="19" t="s">
        <v>55</v>
      </c>
      <c r="D6" s="20">
        <v>200000</v>
      </c>
      <c r="E6" s="23">
        <v>200000</v>
      </c>
      <c r="F6" s="23">
        <v>3000000</v>
      </c>
      <c r="G6" s="23">
        <v>100000</v>
      </c>
    </row>
    <row r="7" spans="2:7" outlineLevel="1" x14ac:dyDescent="0.3">
      <c r="B7" s="19"/>
      <c r="C7" s="19" t="s">
        <v>56</v>
      </c>
      <c r="D7" s="20">
        <v>1000</v>
      </c>
      <c r="E7" s="23">
        <v>1000</v>
      </c>
      <c r="F7" s="23">
        <v>1500</v>
      </c>
      <c r="G7" s="23">
        <v>600</v>
      </c>
    </row>
    <row r="8" spans="2:7" x14ac:dyDescent="0.3">
      <c r="B8" s="22" t="s">
        <v>28</v>
      </c>
      <c r="C8" s="22"/>
      <c r="D8" s="20"/>
      <c r="E8" s="20"/>
      <c r="F8" s="20"/>
      <c r="G8" s="20"/>
    </row>
    <row r="9" spans="2:7" outlineLevel="1" x14ac:dyDescent="0.3">
      <c r="B9" s="19"/>
      <c r="C9" s="19" t="s">
        <v>57</v>
      </c>
      <c r="D9" s="20">
        <v>1.5</v>
      </c>
      <c r="E9" s="20">
        <v>1.5</v>
      </c>
      <c r="F9" s="20">
        <v>-0.75</v>
      </c>
      <c r="G9" s="20">
        <v>2</v>
      </c>
    </row>
    <row r="10" spans="2:7" ht="28.8" x14ac:dyDescent="0.3">
      <c r="B10" s="24" t="s">
        <v>12</v>
      </c>
    </row>
    <row r="11" spans="2:7" ht="28.8" x14ac:dyDescent="0.3">
      <c r="B11" s="24" t="s">
        <v>13</v>
      </c>
    </row>
    <row r="12" spans="2:7" ht="28.8" x14ac:dyDescent="0.3">
      <c r="B12" s="24" t="s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45780-E5EB-4577-878A-05C93A422FE5}">
  <dimension ref="A1:F7"/>
  <sheetViews>
    <sheetView workbookViewId="0">
      <selection activeCell="B7" sqref="B7"/>
    </sheetView>
  </sheetViews>
  <sheetFormatPr defaultRowHeight="14.4" x14ac:dyDescent="0.3"/>
  <cols>
    <col min="1" max="1" width="26.88671875" customWidth="1"/>
    <col min="2" max="2" width="12" customWidth="1"/>
    <col min="3" max="3" width="12.21875" customWidth="1"/>
    <col min="4" max="4" width="18.21875" bestFit="1" customWidth="1"/>
    <col min="5" max="5" width="17.21875" bestFit="1" customWidth="1"/>
    <col min="6" max="6" width="21.88671875" bestFit="1" customWidth="1"/>
  </cols>
  <sheetData>
    <row r="1" spans="1:6" x14ac:dyDescent="0.3">
      <c r="A1" s="16" t="s">
        <v>40</v>
      </c>
      <c r="B1" s="16" t="s">
        <v>41</v>
      </c>
      <c r="C1" s="16" t="s">
        <v>42</v>
      </c>
      <c r="D1" s="16" t="s">
        <v>52</v>
      </c>
      <c r="E1" s="16" t="s">
        <v>53</v>
      </c>
      <c r="F1" s="16" t="s">
        <v>54</v>
      </c>
    </row>
    <row r="2" spans="1:6" x14ac:dyDescent="0.3">
      <c r="A2" s="2" t="s">
        <v>43</v>
      </c>
      <c r="B2" s="2">
        <v>200000</v>
      </c>
      <c r="C2" s="2" t="s">
        <v>49</v>
      </c>
      <c r="D2" s="2">
        <v>3000000</v>
      </c>
      <c r="E2" s="2">
        <v>200000</v>
      </c>
      <c r="F2" s="15">
        <v>100000</v>
      </c>
    </row>
    <row r="3" spans="1:6" x14ac:dyDescent="0.3">
      <c r="A3" s="2" t="s">
        <v>44</v>
      </c>
      <c r="B3" s="2">
        <v>1000</v>
      </c>
      <c r="C3" s="2" t="s">
        <v>49</v>
      </c>
      <c r="D3" s="2">
        <v>1500</v>
      </c>
      <c r="E3" s="2">
        <v>1000</v>
      </c>
      <c r="F3" s="15">
        <v>6000</v>
      </c>
    </row>
    <row r="4" spans="1:6" x14ac:dyDescent="0.3">
      <c r="A4" s="2" t="s">
        <v>45</v>
      </c>
      <c r="B4" s="2">
        <v>10</v>
      </c>
      <c r="C4" s="2" t="s">
        <v>50</v>
      </c>
      <c r="D4" s="2"/>
      <c r="E4" s="2"/>
      <c r="F4" s="2"/>
    </row>
    <row r="5" spans="1:6" x14ac:dyDescent="0.3">
      <c r="A5" s="2" t="s">
        <v>46</v>
      </c>
      <c r="B5" s="2">
        <v>5000</v>
      </c>
      <c r="C5" s="2" t="s">
        <v>50</v>
      </c>
      <c r="D5" s="2"/>
      <c r="E5" s="2"/>
      <c r="F5" s="2"/>
    </row>
    <row r="6" spans="1:6" x14ac:dyDescent="0.3">
      <c r="A6" s="2" t="s">
        <v>47</v>
      </c>
      <c r="B6" s="2">
        <f>(B3)*(B4/100)*B5</f>
        <v>500000</v>
      </c>
      <c r="C6" s="2" t="s">
        <v>51</v>
      </c>
      <c r="D6" s="2"/>
      <c r="E6" s="2"/>
      <c r="F6" s="2"/>
    </row>
    <row r="7" spans="1:6" x14ac:dyDescent="0.3">
      <c r="A7" s="2" t="s">
        <v>48</v>
      </c>
      <c r="B7" s="2">
        <f>(B6-B2)/Ad_Spend</f>
        <v>1.5</v>
      </c>
      <c r="C7" s="2" t="s">
        <v>51</v>
      </c>
      <c r="D7" s="2"/>
      <c r="E7" s="2"/>
      <c r="F7" s="2"/>
    </row>
  </sheetData>
  <scenarios current="2" sqref="B7">
    <scenario name="Balanced" locked="1" count="2" user="Triveni" comment="Created by Triveni on 10-02-2026_x000a_Modified by Triveni on 10-02-2026">
      <inputCells r="B2" val="200000"/>
      <inputCells r="B3" val="1000"/>
    </scenario>
    <scenario name="Aggresive" locked="1" count="2" user="Triveni" comment="Created by Triveni on 10-02-2026_x000a_Modified by Triveni on 10-02-2026">
      <inputCells r="B2" val="3000000"/>
      <inputCells r="B3" val="1500"/>
    </scenario>
    <scenario name="Conservative" locked="1" count="2" user="Triveni" comment="Created by Triveni on 10-02-2026_x000a_Modified by Triveni on 10-02-2026">
      <inputCells r="B2" val="100000"/>
      <inputCells r="B3" val="600"/>
    </scenario>
  </scenario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Scenario Summary Sheet3</vt:lpstr>
      <vt:lpstr>Scenario Summary Sheet1</vt:lpstr>
      <vt:lpstr>Sheet3</vt:lpstr>
      <vt:lpstr>Sheet1</vt:lpstr>
      <vt:lpstr>Scenario Summary</vt:lpstr>
      <vt:lpstr>Sheet2</vt:lpstr>
      <vt:lpstr>Accomodation</vt:lpstr>
      <vt:lpstr>Ad_Spend</vt:lpstr>
      <vt:lpstr>Budget</vt:lpstr>
      <vt:lpstr>Conversion_Rate_Percentages</vt:lpstr>
      <vt:lpstr>Fixed_Cost</vt:lpstr>
      <vt:lpstr>Food</vt:lpstr>
      <vt:lpstr>Leads_Generated</vt:lpstr>
      <vt:lpstr>Mis</vt:lpstr>
      <vt:lpstr>Profit_Formula</vt:lpstr>
      <vt:lpstr>Revenue</vt:lpstr>
      <vt:lpstr>Revenue_per_Sale</vt:lpstr>
      <vt:lpstr>ROI_Percentages</vt:lpstr>
      <vt:lpstr>Sales_Price____Unit</vt:lpstr>
      <vt:lpstr>Spare_Cash</vt:lpstr>
      <vt:lpstr>Tickets</vt:lpstr>
      <vt:lpstr>Total_Expense</vt:lpstr>
      <vt:lpstr>Train_Travel</vt:lpstr>
      <vt:lpstr>Unit_Sold</vt:lpstr>
      <vt:lpstr>Variable_Cost___Unit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Triveni Singh</dc:creator>
  <cp:lastModifiedBy>Triveni Singh</cp:lastModifiedBy>
  <dcterms:created xsi:type="dcterms:W3CDTF">2026-02-09T08:42:16Z</dcterms:created>
  <dcterms:modified xsi:type="dcterms:W3CDTF">2026-02-10T04:07:48Z</dcterms:modified>
</cp:coreProperties>
</file>
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xcel Practice\For Golu\"/>
    </mc:Choice>
  </mc:AlternateContent>
  <xr:revisionPtr revIDLastSave="0" documentId="13_ncr:1_{4224452B-743C-4FAE-8AF3-4560ABA03D47}" xr6:coauthVersionLast="47" xr6:coauthVersionMax="47" xr10:uidLastSave="{00000000-0000-0000-0000-000000000000}"/>
  <bookViews>
    <workbookView xWindow="-108" yWindow="-108" windowWidth="23256" windowHeight="13896" activeTab="7" xr2:uid="{0FFAADC6-6D2F-4B57-A8D1-F5D1F9DBB5DD}"/>
  </bookViews>
  <sheets>
    <sheet name="Ch01-01" sheetId="1" r:id="rId1"/>
    <sheet name="Ch01-02" sheetId="2" r:id="rId2"/>
    <sheet name="Ch02-1" sheetId="3" r:id="rId3"/>
    <sheet name="Ch02-02" sheetId="4" r:id="rId4"/>
    <sheet name="Ch03-01" sheetId="5" r:id="rId5"/>
    <sheet name="Ch04-01" sheetId="6" r:id="rId6"/>
    <sheet name="Ch05-01" sheetId="7" r:id="rId7"/>
    <sheet name="Ch05-02" sheetId="8" r:id="rId8"/>
  </sheets>
  <definedNames>
    <definedName name="Data">'Ch02-1'!$A$8:$B$9,'Ch02-1'!$A$13:$B$13,'Ch02-1'!$E$10:$G$11</definedName>
    <definedName name="distance">'Ch04-01'!$B$9:$J$17</definedName>
    <definedName name="Growth" localSheetId="7">'Ch05-02'!$H$7</definedName>
    <definedName name="growth">'Ch02-02'!$B$1</definedName>
    <definedName name="hours">'Ch02-02'!$F$15:$L$15</definedName>
    <definedName name="LastYear">'Ch02-02'!$B1048576</definedName>
    <definedName name="Region">'Ch02-1'!$A$1:$B$5</definedName>
    <definedName name="sales">'Ch05-01'!$B$14:$H$18</definedName>
    <definedName name="wage">'Ch02-02'!$F$14:$L$14</definedName>
    <definedName name="Year_1_cash_flow">'Ch05-02'!$H$6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8" l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11" i="8"/>
  <c r="I10" i="8"/>
  <c r="H13" i="8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12" i="8"/>
  <c r="H11" i="8"/>
  <c r="D3" i="8"/>
  <c r="D4" i="8"/>
  <c r="C4" i="8" a="1"/>
  <c r="C4" i="8"/>
  <c r="C3" i="8"/>
  <c r="F25" i="7" a="1"/>
  <c r="F25" i="7"/>
  <c r="E25" i="7"/>
  <c r="D25" i="7"/>
  <c r="F21" i="7" a="1"/>
  <c r="F21" i="7" s="1"/>
  <c r="E21" i="7"/>
  <c r="D21" i="7"/>
  <c r="G9" i="7"/>
  <c r="E9" i="7"/>
  <c r="B11" i="7"/>
  <c r="B12" i="7"/>
  <c r="B10" i="7"/>
  <c r="D22" i="6"/>
  <c r="D23" i="6"/>
  <c r="D24" i="6"/>
  <c r="D25" i="6"/>
  <c r="D26" i="6"/>
  <c r="D27" i="6"/>
  <c r="D21" i="6"/>
  <c r="O13" i="6" a="1"/>
  <c r="O13" i="6"/>
  <c r="O11" i="6"/>
  <c r="N11" i="6"/>
  <c r="D5" i="6"/>
  <c r="D4" i="6" a="1"/>
  <c r="D4" i="6" s="1"/>
  <c r="D30" i="5"/>
  <c r="D31" i="5"/>
  <c r="D32" i="5"/>
  <c r="D29" i="5"/>
  <c r="I19" i="5"/>
  <c r="I18" i="5"/>
  <c r="F14" i="5"/>
  <c r="F15" i="5"/>
  <c r="F16" i="5"/>
  <c r="F17" i="5"/>
  <c r="F13" i="5"/>
  <c r="E14" i="5"/>
  <c r="E15" i="5"/>
  <c r="E16" i="5"/>
  <c r="E17" i="5"/>
  <c r="E13" i="5"/>
  <c r="F16" i="4" a="1"/>
  <c r="F16" i="4" s="1"/>
  <c r="B6" i="4"/>
  <c r="B7" i="4" s="1"/>
  <c r="B8" i="4" s="1"/>
  <c r="B9" i="4" s="1"/>
  <c r="B10" i="4" s="1"/>
  <c r="B11" i="4" s="1"/>
  <c r="B5" i="4"/>
  <c r="I8" i="3"/>
  <c r="E5" i="3"/>
  <c r="E4" i="3"/>
  <c r="E3" i="3"/>
  <c r="E2" i="3"/>
  <c r="B10" i="1"/>
  <c r="E9" i="1"/>
  <c r="E10" i="1"/>
  <c r="B11" i="1" s="1"/>
  <c r="D9" i="1"/>
  <c r="D10" i="1"/>
  <c r="B9" i="1"/>
  <c r="E8" i="1"/>
  <c r="D8" i="1"/>
  <c r="C9" i="1"/>
  <c r="C10" i="1"/>
  <c r="C11" i="1"/>
  <c r="C12" i="1"/>
  <c r="C13" i="1"/>
  <c r="C14" i="1"/>
  <c r="C15" i="1"/>
  <c r="C16" i="1"/>
  <c r="C17" i="1"/>
  <c r="C8" i="1"/>
  <c r="B8" i="1"/>
  <c r="C11" i="2"/>
  <c r="D11" i="2"/>
  <c r="E11" i="2"/>
  <c r="F11" i="2"/>
  <c r="G11" i="2"/>
  <c r="H11" i="2"/>
  <c r="C12" i="2"/>
  <c r="D12" i="2"/>
  <c r="E12" i="2"/>
  <c r="F12" i="2"/>
  <c r="G12" i="2"/>
  <c r="H12" i="2"/>
  <c r="C13" i="2"/>
  <c r="D13" i="2"/>
  <c r="E13" i="2"/>
  <c r="F13" i="2"/>
  <c r="G13" i="2"/>
  <c r="H13" i="2"/>
  <c r="C10" i="2"/>
  <c r="D10" i="2"/>
  <c r="E10" i="2"/>
  <c r="F10" i="2"/>
  <c r="G10" i="2"/>
  <c r="H10" i="2"/>
  <c r="B11" i="2"/>
  <c r="B12" i="2"/>
  <c r="B13" i="2"/>
  <c r="B10" i="2"/>
  <c r="M11" i="8"/>
  <c r="M23" i="8"/>
  <c r="M24" i="8"/>
  <c r="M13" i="8"/>
  <c r="M14" i="8"/>
  <c r="M15" i="8"/>
  <c r="M16" i="8"/>
  <c r="M17" i="8"/>
  <c r="M18" i="8"/>
  <c r="M19" i="8"/>
  <c r="M20" i="8"/>
  <c r="M21" i="8"/>
  <c r="M22" i="8"/>
  <c r="M12" i="8"/>
  <c r="M25" i="8"/>
  <c r="M10" i="8"/>
  <c r="K11" i="8"/>
  <c r="K23" i="8"/>
  <c r="K12" i="8"/>
  <c r="K14" i="8"/>
  <c r="K15" i="8"/>
  <c r="K16" i="8"/>
  <c r="K17" i="8"/>
  <c r="K18" i="8"/>
  <c r="K19" i="8"/>
  <c r="K20" i="8"/>
  <c r="K21" i="8"/>
  <c r="K22" i="8"/>
  <c r="K24" i="8"/>
  <c r="K13" i="8"/>
  <c r="K25" i="8"/>
  <c r="K10" i="8"/>
  <c r="H4" i="8"/>
  <c r="H3" i="8"/>
  <c r="F4" i="8"/>
  <c r="F3" i="8"/>
  <c r="F26" i="7"/>
  <c r="E26" i="7"/>
  <c r="D26" i="7"/>
  <c r="F22" i="7"/>
  <c r="E22" i="7"/>
  <c r="D22" i="7"/>
  <c r="G10" i="7"/>
  <c r="E10" i="7"/>
  <c r="D12" i="7"/>
  <c r="D11" i="7"/>
  <c r="D10" i="7"/>
  <c r="F26" i="6"/>
  <c r="F22" i="6"/>
  <c r="F8" i="1"/>
  <c r="G15" i="1"/>
  <c r="K19" i="5"/>
  <c r="F31" i="5"/>
  <c r="F30" i="5"/>
  <c r="F17" i="1"/>
  <c r="F9" i="1"/>
  <c r="H15" i="1"/>
  <c r="G9" i="1"/>
  <c r="Q13" i="6"/>
  <c r="H14" i="1"/>
  <c r="J8" i="3"/>
  <c r="F23" i="6"/>
  <c r="G10" i="1"/>
  <c r="H8" i="1"/>
  <c r="F3" i="3"/>
  <c r="F5" i="3"/>
  <c r="H13" i="1"/>
  <c r="D8" i="4"/>
  <c r="G8" i="1"/>
  <c r="F13" i="1"/>
  <c r="F21" i="6"/>
  <c r="H11" i="1"/>
  <c r="G16" i="1"/>
  <c r="F4" i="6"/>
  <c r="G14" i="1"/>
  <c r="F11" i="1"/>
  <c r="F12" i="1"/>
  <c r="F2" i="3"/>
  <c r="F14" i="1"/>
  <c r="H9" i="1"/>
  <c r="D11" i="4"/>
  <c r="G12" i="1"/>
  <c r="G13" i="1"/>
  <c r="D6" i="4"/>
  <c r="H16" i="1"/>
  <c r="F25" i="6"/>
  <c r="D9" i="4"/>
  <c r="D5" i="4"/>
  <c r="H10" i="1"/>
  <c r="D7" i="4"/>
  <c r="G11" i="1"/>
  <c r="G17" i="1"/>
  <c r="H12" i="1"/>
  <c r="J10" i="2"/>
  <c r="F15" i="1"/>
  <c r="F5" i="6"/>
  <c r="F19" i="4"/>
  <c r="F27" i="6"/>
  <c r="H17" i="1"/>
  <c r="F32" i="5"/>
  <c r="F29" i="5"/>
  <c r="F24" i="6"/>
  <c r="F4" i="3"/>
  <c r="K18" i="5"/>
  <c r="F10" i="1"/>
  <c r="D10" i="4"/>
  <c r="F16" i="1"/>
  <c r="O16" i="6" l="1" a="1"/>
  <c r="O16" i="6" s="1"/>
  <c r="D11" i="1"/>
  <c r="E11" i="1" s="1"/>
  <c r="B12" i="1" s="1"/>
  <c r="D12" i="1" l="1"/>
  <c r="E12" i="1"/>
  <c r="B13" i="1" s="1"/>
  <c r="D13" i="1" l="1"/>
  <c r="E13" i="1" s="1"/>
  <c r="B14" i="1" s="1"/>
  <c r="D14" i="1" l="1"/>
  <c r="E14" i="1" s="1"/>
  <c r="B15" i="1" s="1"/>
  <c r="D15" i="1" l="1"/>
  <c r="E15" i="1" s="1"/>
  <c r="B16" i="1" s="1"/>
  <c r="D16" i="1" l="1"/>
  <c r="E16" i="1"/>
  <c r="B17" i="1" s="1"/>
  <c r="D17" i="1" l="1"/>
  <c r="E1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<sst xmlns="http://schemas.openxmlformats.org/spreadsheetml/2006/main" count="548" uniqueCount="502">
  <si>
    <t>Demand = 100-15*price</t>
  </si>
  <si>
    <t>Demandcurve</t>
  </si>
  <si>
    <t>DemandIntercept</t>
  </si>
  <si>
    <t xml:space="preserve"> </t>
  </si>
  <si>
    <t>Price</t>
  </si>
  <si>
    <t>Cost</t>
  </si>
  <si>
    <t>Start</t>
  </si>
  <si>
    <t>Newperyear</t>
  </si>
  <si>
    <t>Churnrate</t>
  </si>
  <si>
    <t>Year</t>
  </si>
  <si>
    <t>Start 
Customers</t>
  </si>
  <si>
    <t>New 
Customers</t>
  </si>
  <si>
    <t>Quits</t>
  </si>
  <si>
    <t>End 
Customer</t>
  </si>
  <si>
    <t>Start 
Formulla</t>
  </si>
  <si>
    <t>Quit 
Formulla</t>
  </si>
  <si>
    <t>End Formulla</t>
  </si>
  <si>
    <t>Region</t>
  </si>
  <si>
    <t>Number</t>
  </si>
  <si>
    <t>East</t>
  </si>
  <si>
    <t>West</t>
  </si>
  <si>
    <t>North</t>
  </si>
  <si>
    <t>South</t>
  </si>
  <si>
    <t>Mathematical Operation Through Name</t>
  </si>
  <si>
    <t>Sum</t>
  </si>
  <si>
    <t>Average</t>
  </si>
  <si>
    <t>Max</t>
  </si>
  <si>
    <t>min</t>
  </si>
  <si>
    <t>Data</t>
  </si>
  <si>
    <t>='Ch02-1'!$A$8:$B$9,'Ch02-1'!$A$13:$B$13,'Ch02-1'!$E$10:$G$11</t>
  </si>
  <si>
    <t>='Ch02-1'!$A$1:$B$5</t>
  </si>
  <si>
    <t>growth</t>
  </si>
  <si>
    <t>revenue</t>
  </si>
  <si>
    <t>Monday</t>
  </si>
  <si>
    <t>Tuesday</t>
  </si>
  <si>
    <t>Wednesday</t>
  </si>
  <si>
    <t>Thursday</t>
  </si>
  <si>
    <t>Friday</t>
  </si>
  <si>
    <t>Saturday</t>
  </si>
  <si>
    <t>Sunday</t>
  </si>
  <si>
    <t>wage</t>
  </si>
  <si>
    <t>hours</t>
  </si>
  <si>
    <t>payroll</t>
  </si>
  <si>
    <t>Lookup Tables</t>
  </si>
  <si>
    <t>Income</t>
  </si>
  <si>
    <t>Tax rate</t>
  </si>
  <si>
    <t>Lookup=D6:E9</t>
  </si>
  <si>
    <t>Lookup2=H11:I15</t>
  </si>
  <si>
    <t>Product ID</t>
  </si>
  <si>
    <t>A134</t>
  </si>
  <si>
    <t>Rate</t>
  </si>
  <si>
    <t>B242</t>
  </si>
  <si>
    <t>X212</t>
  </si>
  <si>
    <t>C413</t>
  </si>
  <si>
    <t>B2211</t>
  </si>
  <si>
    <t>ID</t>
  </si>
  <si>
    <t>Date</t>
  </si>
  <si>
    <t>Lookup:B2:D3</t>
  </si>
  <si>
    <t>T Dist to Seattle</t>
  </si>
  <si>
    <t>Boston</t>
  </si>
  <si>
    <t>Chicago</t>
  </si>
  <si>
    <t>Dallas</t>
  </si>
  <si>
    <t>Denver</t>
  </si>
  <si>
    <t>LA</t>
  </si>
  <si>
    <t>Miami</t>
  </si>
  <si>
    <t>Phoenix</t>
  </si>
  <si>
    <t>Seattle</t>
  </si>
  <si>
    <t>Road Trip!!</t>
  </si>
  <si>
    <t>City</t>
  </si>
  <si>
    <t>Distance</t>
  </si>
  <si>
    <t>Total</t>
  </si>
  <si>
    <t>last number&lt;=0</t>
  </si>
  <si>
    <t>last number&gt;=-4</t>
  </si>
  <si>
    <t>Pho*</t>
  </si>
  <si>
    <t>January</t>
  </si>
  <si>
    <t>February</t>
  </si>
  <si>
    <t>March</t>
  </si>
  <si>
    <t>April</t>
  </si>
  <si>
    <t>May</t>
  </si>
  <si>
    <t>June</t>
  </si>
  <si>
    <t>LeBron</t>
  </si>
  <si>
    <t>Kobe</t>
  </si>
  <si>
    <t>MJ</t>
  </si>
  <si>
    <t>Curry</t>
  </si>
  <si>
    <t>Product</t>
  </si>
  <si>
    <t>Month</t>
  </si>
  <si>
    <t>Row # of product</t>
  </si>
  <si>
    <t>Column # of month</t>
  </si>
  <si>
    <t>Product Sales</t>
  </si>
  <si>
    <t>name</t>
  </si>
  <si>
    <t>highest</t>
  </si>
  <si>
    <t>5th highest</t>
  </si>
  <si>
    <t>player position</t>
  </si>
  <si>
    <t>amount</t>
  </si>
  <si>
    <t>salary</t>
  </si>
  <si>
    <t xml:space="preserve">dl-Mo Vaughn </t>
  </si>
  <si>
    <t xml:space="preserve">Tim Salmon </t>
  </si>
  <si>
    <t xml:space="preserve">Garret Anderson </t>
  </si>
  <si>
    <t xml:space="preserve">Darin Erstad </t>
  </si>
  <si>
    <t xml:space="preserve">Troy Percival </t>
  </si>
  <si>
    <t xml:space="preserve">Ismael Valdes </t>
  </si>
  <si>
    <t xml:space="preserve">Pat Rapp </t>
  </si>
  <si>
    <t xml:space="preserve">Glenallen Hill </t>
  </si>
  <si>
    <t xml:space="preserve">Troy Glaus </t>
  </si>
  <si>
    <t xml:space="preserve">Shigetoshi Hasegawa </t>
  </si>
  <si>
    <t xml:space="preserve">Scott Spiezio </t>
  </si>
  <si>
    <t xml:space="preserve">Orlando Palmeiro </t>
  </si>
  <si>
    <t xml:space="preserve">Alan Levine </t>
  </si>
  <si>
    <t xml:space="preserve">Mike Holtz </t>
  </si>
  <si>
    <t xml:space="preserve">Jorge Fabregas </t>
  </si>
  <si>
    <t xml:space="preserve">Benji Gil </t>
  </si>
  <si>
    <t xml:space="preserve">Ben Molina </t>
  </si>
  <si>
    <t xml:space="preserve">dl-Gary DiSarcina </t>
  </si>
  <si>
    <t xml:space="preserve">dl-Adam Kennedy </t>
  </si>
  <si>
    <t xml:space="preserve">Scott Schoeneweis </t>
  </si>
  <si>
    <t xml:space="preserve">dl-Kimera Bartee </t>
  </si>
  <si>
    <t xml:space="preserve">dl-Jarrod Washburn </t>
  </si>
  <si>
    <t xml:space="preserve">Ramon Ortiz </t>
  </si>
  <si>
    <t xml:space="preserve">Jose Nieves </t>
  </si>
  <si>
    <t xml:space="preserve">Lou Pote </t>
  </si>
  <si>
    <t xml:space="preserve">Matthew Wise </t>
  </si>
  <si>
    <t xml:space="preserve">Ben Weber </t>
  </si>
  <si>
    <t xml:space="preserve">Shawn Wooten </t>
  </si>
  <si>
    <t xml:space="preserve">David Eckstein </t>
  </si>
  <si>
    <t xml:space="preserve">dl-Rendy Espina </t>
  </si>
  <si>
    <t xml:space="preserve">Wally Joyner </t>
  </si>
  <si>
    <t xml:space="preserve">dl-Albert Belle </t>
  </si>
  <si>
    <t xml:space="preserve">David Segui </t>
  </si>
  <si>
    <t xml:space="preserve">Brady Anderson </t>
  </si>
  <si>
    <t xml:space="preserve">Scott Erickson </t>
  </si>
  <si>
    <t xml:space="preserve">Mike Bordick </t>
  </si>
  <si>
    <t xml:space="preserve">Delino Deshields </t>
  </si>
  <si>
    <t xml:space="preserve">Pat Hentgen </t>
  </si>
  <si>
    <t xml:space="preserve">Jeff Conine </t>
  </si>
  <si>
    <t xml:space="preserve">dl-Alan Mills </t>
  </si>
  <si>
    <t xml:space="preserve">Jose Mercedes </t>
  </si>
  <si>
    <t xml:space="preserve">Mike Trombley </t>
  </si>
  <si>
    <t xml:space="preserve">Sidney Ponson </t>
  </si>
  <si>
    <t xml:space="preserve">Buddy Groom </t>
  </si>
  <si>
    <t xml:space="preserve">Chuck McElroy </t>
  </si>
  <si>
    <t xml:space="preserve">Brook Fordyce </t>
  </si>
  <si>
    <t xml:space="preserve">Greg Myers </t>
  </si>
  <si>
    <t xml:space="preserve">Jason Johnson </t>
  </si>
  <si>
    <t xml:space="preserve">Melvin Mora </t>
  </si>
  <si>
    <t xml:space="preserve">Jerry Hairston </t>
  </si>
  <si>
    <t xml:space="preserve">Chris Richard </t>
  </si>
  <si>
    <t xml:space="preserve">Ryan Kohlmeier </t>
  </si>
  <si>
    <t xml:space="preserve">dl-Luis Matos </t>
  </si>
  <si>
    <t xml:space="preserve">Mike Kinkade </t>
  </si>
  <si>
    <t xml:space="preserve">B.J. Ryan </t>
  </si>
  <si>
    <t xml:space="preserve">Fernando Lunar </t>
  </si>
  <si>
    <t xml:space="preserve">dl-Luis Rivera </t>
  </si>
  <si>
    <t xml:space="preserve">Jay Gibbons </t>
  </si>
  <si>
    <t xml:space="preserve">Matthew Riley </t>
  </si>
  <si>
    <t xml:space="preserve">Manny Ramirez </t>
  </si>
  <si>
    <t xml:space="preserve">Pedro Martinez </t>
  </si>
  <si>
    <t xml:space="preserve">Carl Everett </t>
  </si>
  <si>
    <t xml:space="preserve">dl-Nomar Garciaparra </t>
  </si>
  <si>
    <t xml:space="preserve">Dante Bichette </t>
  </si>
  <si>
    <t xml:space="preserve">Jose Offerman </t>
  </si>
  <si>
    <t xml:space="preserve">dl-John Valentin </t>
  </si>
  <si>
    <t xml:space="preserve">Mike Lansing </t>
  </si>
  <si>
    <t xml:space="preserve">Troy O'Leary </t>
  </si>
  <si>
    <t xml:space="preserve">Rod Beck </t>
  </si>
  <si>
    <t xml:space="preserve">Hideo Nomo </t>
  </si>
  <si>
    <t xml:space="preserve">dl-Bret Saberhagen </t>
  </si>
  <si>
    <t xml:space="preserve">Tim Wakefield </t>
  </si>
  <si>
    <t xml:space="preserve">Darren Lewis </t>
  </si>
  <si>
    <t xml:space="preserve">Frank Castillo </t>
  </si>
  <si>
    <t xml:space="preserve">Derek Lowe </t>
  </si>
  <si>
    <t xml:space="preserve">Jason Varitek </t>
  </si>
  <si>
    <t xml:space="preserve">dl-Hipolito Pichardo </t>
  </si>
  <si>
    <t xml:space="preserve">Rolando Arrojo </t>
  </si>
  <si>
    <t xml:space="preserve">dl-Bryce Florie </t>
  </si>
  <si>
    <t xml:space="preserve">Rich Garces </t>
  </si>
  <si>
    <t xml:space="preserve">Chris Stynes </t>
  </si>
  <si>
    <t xml:space="preserve">Scott Hatteberg </t>
  </si>
  <si>
    <t xml:space="preserve">dl-David Cone </t>
  </si>
  <si>
    <t xml:space="preserve">Pete Schourek </t>
  </si>
  <si>
    <t xml:space="preserve">Craig Grebeck </t>
  </si>
  <si>
    <t xml:space="preserve">Brian Daubach </t>
  </si>
  <si>
    <t xml:space="preserve">Trot Nixon </t>
  </si>
  <si>
    <t xml:space="preserve">Tomokazu Ohka </t>
  </si>
  <si>
    <t xml:space="preserve">dl-Juan Pena </t>
  </si>
  <si>
    <t xml:space="preserve">Paxton Crawford </t>
  </si>
  <si>
    <t xml:space="preserve">Shea Hillenbrand </t>
  </si>
  <si>
    <t xml:space="preserve">Frank Thomas </t>
  </si>
  <si>
    <t xml:space="preserve">David Wells </t>
  </si>
  <si>
    <t xml:space="preserve">dl-James Baldwin </t>
  </si>
  <si>
    <t xml:space="preserve">Ray Durham </t>
  </si>
  <si>
    <t xml:space="preserve">Jose Valentin </t>
  </si>
  <si>
    <t xml:space="preserve">Royce Clayton </t>
  </si>
  <si>
    <t xml:space="preserve">Magglio Ordonez </t>
  </si>
  <si>
    <t xml:space="preserve">Keith Foulke </t>
  </si>
  <si>
    <t xml:space="preserve">Paul Konerko </t>
  </si>
  <si>
    <t xml:space="preserve">dl-Billy Simas </t>
  </si>
  <si>
    <t xml:space="preserve">Antonio Osuna </t>
  </si>
  <si>
    <t xml:space="preserve">Harold Baines </t>
  </si>
  <si>
    <t xml:space="preserve">Herbert Perry </t>
  </si>
  <si>
    <t xml:space="preserve">Cal Eldred </t>
  </si>
  <si>
    <t xml:space="preserve">Jim Parque </t>
  </si>
  <si>
    <t xml:space="preserve">Carlos Lee </t>
  </si>
  <si>
    <t xml:space="preserve">Tony Graffanino </t>
  </si>
  <si>
    <t xml:space="preserve">Bobby Howry </t>
  </si>
  <si>
    <t xml:space="preserve">Chris Singleton </t>
  </si>
  <si>
    <t xml:space="preserve">Sean Lowe </t>
  </si>
  <si>
    <t xml:space="preserve">Kelly Wunsch </t>
  </si>
  <si>
    <t xml:space="preserve">Josh Paul </t>
  </si>
  <si>
    <t xml:space="preserve">Mark Buehrle </t>
  </si>
  <si>
    <t xml:space="preserve">Lee Biddle </t>
  </si>
  <si>
    <t xml:space="preserve">Julio Ramirez </t>
  </si>
  <si>
    <t xml:space="preserve">Gary Glover </t>
  </si>
  <si>
    <t xml:space="preserve">Juan Gonzalez </t>
  </si>
  <si>
    <t xml:space="preserve">Chuck Finley </t>
  </si>
  <si>
    <t xml:space="preserve">Jim Thome </t>
  </si>
  <si>
    <t xml:space="preserve">Kenny Lofton </t>
  </si>
  <si>
    <t xml:space="preserve">Roberto Alomar </t>
  </si>
  <si>
    <t xml:space="preserve">dl-Charles Nagy </t>
  </si>
  <si>
    <t xml:space="preserve">dl-Travis Fryman </t>
  </si>
  <si>
    <t xml:space="preserve">Ellis Burks </t>
  </si>
  <si>
    <t xml:space="preserve">Dave Burba </t>
  </si>
  <si>
    <t xml:space="preserve">Omar Vizquel </t>
  </si>
  <si>
    <t xml:space="preserve">Steve Karsay </t>
  </si>
  <si>
    <t xml:space="preserve">Wil Cordero </t>
  </si>
  <si>
    <t xml:space="preserve">Bartolo Colon </t>
  </si>
  <si>
    <t xml:space="preserve">Bob Wickman </t>
  </si>
  <si>
    <t xml:space="preserve">dl-Jaret Wright </t>
  </si>
  <si>
    <t xml:space="preserve">Paul Shuey </t>
  </si>
  <si>
    <t xml:space="preserve">Eddie Taubensee </t>
  </si>
  <si>
    <t xml:space="preserve">Steve Reed </t>
  </si>
  <si>
    <t xml:space="preserve">Ricardo Rincon </t>
  </si>
  <si>
    <t xml:space="preserve">Steve Woodard </t>
  </si>
  <si>
    <t xml:space="preserve">Marty Cordova </t>
  </si>
  <si>
    <t xml:space="preserve">Einar Diaz </t>
  </si>
  <si>
    <t xml:space="preserve">Justin Speier </t>
  </si>
  <si>
    <t xml:space="preserve">Jolbert Cabrera </t>
  </si>
  <si>
    <t xml:space="preserve">Jacob Cruz </t>
  </si>
  <si>
    <t xml:space="preserve">Russell Branyan </t>
  </si>
  <si>
    <t xml:space="preserve">dl-David Roberts </t>
  </si>
  <si>
    <t xml:space="preserve">John McDonald </t>
  </si>
  <si>
    <t xml:space="preserve">dl-Cameron Cairncross </t>
  </si>
  <si>
    <t xml:space="preserve">Timothy Drew </t>
  </si>
  <si>
    <t xml:space="preserve">dl-Dean Palmer </t>
  </si>
  <si>
    <t xml:space="preserve">Bobby Higginson </t>
  </si>
  <si>
    <t xml:space="preserve">Dave Mlicki </t>
  </si>
  <si>
    <t xml:space="preserve">Damion Easley </t>
  </si>
  <si>
    <t xml:space="preserve">Tony Clark </t>
  </si>
  <si>
    <t xml:space="preserve">Todd Jones </t>
  </si>
  <si>
    <t xml:space="preserve">Deivi Cruz </t>
  </si>
  <si>
    <t xml:space="preserve">Roger Cedeno </t>
  </si>
  <si>
    <t xml:space="preserve">Brian Moehler </t>
  </si>
  <si>
    <t xml:space="preserve">Chris Holt </t>
  </si>
  <si>
    <t xml:space="preserve">C.J. Nitkowski </t>
  </si>
  <si>
    <t xml:space="preserve">Danny Patterson </t>
  </si>
  <si>
    <t xml:space="preserve">Steve Sparks </t>
  </si>
  <si>
    <t xml:space="preserve">Juan Encarnacion </t>
  </si>
  <si>
    <t xml:space="preserve">Jeff Weaver </t>
  </si>
  <si>
    <t xml:space="preserve">Shane Halter </t>
  </si>
  <si>
    <t xml:space="preserve">Matt Anderson </t>
  </si>
  <si>
    <t xml:space="preserve">dl-Mitch Meluskey </t>
  </si>
  <si>
    <t xml:space="preserve">Wendell Magree </t>
  </si>
  <si>
    <t xml:space="preserve">Billy McMillon </t>
  </si>
  <si>
    <t xml:space="preserve">Robert Fick </t>
  </si>
  <si>
    <t xml:space="preserve">Matt Perisho </t>
  </si>
  <si>
    <t xml:space="preserve">Ryan Jackson </t>
  </si>
  <si>
    <t xml:space="preserve">dl-Seth Greisinger </t>
  </si>
  <si>
    <t xml:space="preserve">Jose Macias </t>
  </si>
  <si>
    <t xml:space="preserve">Javier Cardona </t>
  </si>
  <si>
    <t xml:space="preserve">Jermaine Clark </t>
  </si>
  <si>
    <t xml:space="preserve">Brandon Inge </t>
  </si>
  <si>
    <t xml:space="preserve">Roberto Hernandez </t>
  </si>
  <si>
    <t xml:space="preserve">Mike Sweeney </t>
  </si>
  <si>
    <t xml:space="preserve">Jermaine Dye </t>
  </si>
  <si>
    <t xml:space="preserve">dl-Jose Rosado </t>
  </si>
  <si>
    <t xml:space="preserve">Jeff Suppan </t>
  </si>
  <si>
    <t xml:space="preserve">Joe Randa </t>
  </si>
  <si>
    <t xml:space="preserve">Rey Sanchez </t>
  </si>
  <si>
    <t xml:space="preserve">Brian Meadows </t>
  </si>
  <si>
    <t xml:space="preserve">Doug Henry </t>
  </si>
  <si>
    <t xml:space="preserve">dl-Gregg Zaun </t>
  </si>
  <si>
    <t xml:space="preserve">Luis Alicea </t>
  </si>
  <si>
    <t xml:space="preserve">Jason Grimsley </t>
  </si>
  <si>
    <t xml:space="preserve">Dave McCarty </t>
  </si>
  <si>
    <t xml:space="preserve">Carlos Beltran </t>
  </si>
  <si>
    <t xml:space="preserve">Mac Suzuki </t>
  </si>
  <si>
    <t xml:space="preserve">Carlos Febles </t>
  </si>
  <si>
    <t xml:space="preserve">Mark Quinn </t>
  </si>
  <si>
    <t xml:space="preserve">Blake Stein </t>
  </si>
  <si>
    <t xml:space="preserve">Dan Reichert </t>
  </si>
  <si>
    <t xml:space="preserve">A.J. Hinch </t>
  </si>
  <si>
    <t xml:space="preserve">Jose Santiago </t>
  </si>
  <si>
    <t xml:space="preserve">Luis Ordaz </t>
  </si>
  <si>
    <t xml:space="preserve">Hector Ortiz </t>
  </si>
  <si>
    <t xml:space="preserve">Chad Durbin </t>
  </si>
  <si>
    <t xml:space="preserve">Dee Brown </t>
  </si>
  <si>
    <t xml:space="preserve">Kris Wilson </t>
  </si>
  <si>
    <t xml:space="preserve">dl-Scott Mullen </t>
  </si>
  <si>
    <t xml:space="preserve">dl-Orber Moreno </t>
  </si>
  <si>
    <t xml:space="preserve">Tony Cogan </t>
  </si>
  <si>
    <t xml:space="preserve">Brad Radke </t>
  </si>
  <si>
    <t xml:space="preserve">Matt Lawton </t>
  </si>
  <si>
    <t xml:space="preserve">Eric Milton </t>
  </si>
  <si>
    <t xml:space="preserve">Eddie Guardado </t>
  </si>
  <si>
    <t xml:space="preserve">Latroy Hawkins </t>
  </si>
  <si>
    <t xml:space="preserve">Bob Wells </t>
  </si>
  <si>
    <t xml:space="preserve">Denny Hocking </t>
  </si>
  <si>
    <t xml:space="preserve">Corey Koskie </t>
  </si>
  <si>
    <t xml:space="preserve">Hector Carrasco </t>
  </si>
  <si>
    <t xml:space="preserve">Tom Prince </t>
  </si>
  <si>
    <t xml:space="preserve">Cristian Guzman </t>
  </si>
  <si>
    <t xml:space="preserve">Jacque Jones </t>
  </si>
  <si>
    <t xml:space="preserve">Joe Mays </t>
  </si>
  <si>
    <t xml:space="preserve">David Ortiz </t>
  </si>
  <si>
    <t xml:space="preserve">Travis Miller </t>
  </si>
  <si>
    <t xml:space="preserve">Torri Hunter </t>
  </si>
  <si>
    <t xml:space="preserve">John Allen </t>
  </si>
  <si>
    <t xml:space="preserve">dl-Jay Canizaro </t>
  </si>
  <si>
    <t xml:space="preserve">Mark Redman </t>
  </si>
  <si>
    <t xml:space="preserve">Jason Maxwell </t>
  </si>
  <si>
    <t xml:space="preserve">Doug Mientkiewicz </t>
  </si>
  <si>
    <t xml:space="preserve">Johan Santana </t>
  </si>
  <si>
    <t xml:space="preserve">A.J. Pierzynski </t>
  </si>
  <si>
    <t xml:space="preserve">Juan Romero </t>
  </si>
  <si>
    <t xml:space="preserve">Brian Buchanan </t>
  </si>
  <si>
    <t xml:space="preserve">dl-John Barnes </t>
  </si>
  <si>
    <t xml:space="preserve">Luis Rivas </t>
  </si>
  <si>
    <t xml:space="preserve">dl-Derek Jeter </t>
  </si>
  <si>
    <t xml:space="preserve">Bernie Williams </t>
  </si>
  <si>
    <t xml:space="preserve">Roger Clemens </t>
  </si>
  <si>
    <t xml:space="preserve">Mike Mussina </t>
  </si>
  <si>
    <t xml:space="preserve">Mariano Rivera </t>
  </si>
  <si>
    <t xml:space="preserve">David Justice </t>
  </si>
  <si>
    <t xml:space="preserve">Andy Pettitte </t>
  </si>
  <si>
    <t xml:space="preserve">Paul O'Neill </t>
  </si>
  <si>
    <t xml:space="preserve">Chuck Knoblauch </t>
  </si>
  <si>
    <t xml:space="preserve">Tino Martinez </t>
  </si>
  <si>
    <t xml:space="preserve">Scott Brosius </t>
  </si>
  <si>
    <t xml:space="preserve">Jorge Posada </t>
  </si>
  <si>
    <t xml:space="preserve">Mike Stanton </t>
  </si>
  <si>
    <t xml:space="preserve">Orlando Hernandez </t>
  </si>
  <si>
    <t xml:space="preserve">dl-Allen Watson </t>
  </si>
  <si>
    <t xml:space="preserve">dl-Ramiro Mendoza </t>
  </si>
  <si>
    <t xml:space="preserve">Joe Oliver </t>
  </si>
  <si>
    <t xml:space="preserve">dl-Henry Rodriguez </t>
  </si>
  <si>
    <t xml:space="preserve">Alfonso Soriano </t>
  </si>
  <si>
    <t xml:space="preserve">Luis Sojo </t>
  </si>
  <si>
    <t xml:space="preserve">Brian Boehringer </t>
  </si>
  <si>
    <t xml:space="preserve">dl-Shane Spencer </t>
  </si>
  <si>
    <t xml:space="preserve">Todd Williams </t>
  </si>
  <si>
    <t xml:space="preserve">Carlos Almanzar </t>
  </si>
  <si>
    <t xml:space="preserve">Clay Bellinger </t>
  </si>
  <si>
    <t xml:space="preserve">dl-Darrell Einertson </t>
  </si>
  <si>
    <t xml:space="preserve">Randy Choate </t>
  </si>
  <si>
    <t xml:space="preserve">Michael Coleman </t>
  </si>
  <si>
    <t xml:space="preserve">D'Angelo Jimenez </t>
  </si>
  <si>
    <t xml:space="preserve">Christian Parker </t>
  </si>
  <si>
    <t xml:space="preserve">Scott Seabol </t>
  </si>
  <si>
    <t xml:space="preserve">Johnny Damon </t>
  </si>
  <si>
    <t xml:space="preserve">Jason Giambi </t>
  </si>
  <si>
    <t xml:space="preserve">Gil Heredia </t>
  </si>
  <si>
    <t xml:space="preserve">Jason Isringhausen </t>
  </si>
  <si>
    <t xml:space="preserve">dl-John Jaha </t>
  </si>
  <si>
    <t xml:space="preserve">Miguel Tejada </t>
  </si>
  <si>
    <t xml:space="preserve">T.J. Mathews </t>
  </si>
  <si>
    <t xml:space="preserve">Mark Guthrie </t>
  </si>
  <si>
    <t xml:space="preserve">Jim Mecir </t>
  </si>
  <si>
    <t xml:space="preserve">Mike Magnante </t>
  </si>
  <si>
    <t xml:space="preserve">Eric Chavez </t>
  </si>
  <si>
    <t xml:space="preserve">Tim Hudson </t>
  </si>
  <si>
    <t xml:space="preserve">Sal Fasano </t>
  </si>
  <si>
    <t xml:space="preserve">Jeff Tam </t>
  </si>
  <si>
    <t xml:space="preserve">Robin Jennings </t>
  </si>
  <si>
    <t xml:space="preserve">Olmedo Saenz </t>
  </si>
  <si>
    <t xml:space="preserve">Jeremy Giambi </t>
  </si>
  <si>
    <t xml:space="preserve">Ryan Christenson </t>
  </si>
  <si>
    <t xml:space="preserve">Ramon Hernandez </t>
  </si>
  <si>
    <t xml:space="preserve">Terrence Long </t>
  </si>
  <si>
    <t xml:space="preserve">Barry Zito </t>
  </si>
  <si>
    <t xml:space="preserve">Mark Mulder </t>
  </si>
  <si>
    <t xml:space="preserve">Frank Menechino </t>
  </si>
  <si>
    <t xml:space="preserve">Adam Piatt </t>
  </si>
  <si>
    <t xml:space="preserve">Mario Valdez </t>
  </si>
  <si>
    <t xml:space="preserve">dl-Chad Harville </t>
  </si>
  <si>
    <t xml:space="preserve">Jose Ortiz </t>
  </si>
  <si>
    <t xml:space="preserve">Aaron Sele </t>
  </si>
  <si>
    <t xml:space="preserve">John Olerud </t>
  </si>
  <si>
    <t xml:space="preserve">Jamie Moyer </t>
  </si>
  <si>
    <t xml:space="preserve">Ichiro Suzuki </t>
  </si>
  <si>
    <t xml:space="preserve">Edgar Martinez </t>
  </si>
  <si>
    <t xml:space="preserve">Kazuhiro Sasaki </t>
  </si>
  <si>
    <t xml:space="preserve">Al Martin </t>
  </si>
  <si>
    <t xml:space="preserve">Dan Wilson </t>
  </si>
  <si>
    <t xml:space="preserve">Mike Cameron </t>
  </si>
  <si>
    <t xml:space="preserve">Jeff Nelson </t>
  </si>
  <si>
    <t xml:space="preserve">Bret Boone </t>
  </si>
  <si>
    <t xml:space="preserve">Arthur Rhodes </t>
  </si>
  <si>
    <t xml:space="preserve">David Bell </t>
  </si>
  <si>
    <t xml:space="preserve">Mark McLemore </t>
  </si>
  <si>
    <t xml:space="preserve">dl-Jay Buhner </t>
  </si>
  <si>
    <t xml:space="preserve">Paul Abbott </t>
  </si>
  <si>
    <t xml:space="preserve">dl-Chris Widger </t>
  </si>
  <si>
    <t xml:space="preserve">Stan Javier </t>
  </si>
  <si>
    <t xml:space="preserve">Tom Lampkin </t>
  </si>
  <si>
    <t xml:space="preserve">Brett Tomko </t>
  </si>
  <si>
    <t xml:space="preserve">Jose Paniagua </t>
  </si>
  <si>
    <t xml:space="preserve">Freddy Garcia </t>
  </si>
  <si>
    <t xml:space="preserve">John Halama </t>
  </si>
  <si>
    <t xml:space="preserve">Carlos Guillen </t>
  </si>
  <si>
    <t xml:space="preserve">dl-Gil Meche </t>
  </si>
  <si>
    <t xml:space="preserve">Charles Gipson </t>
  </si>
  <si>
    <t xml:space="preserve">Ryan Franklin </t>
  </si>
  <si>
    <t xml:space="preserve">Anthony Sanders </t>
  </si>
  <si>
    <t xml:space="preserve">dl-Wilson Alvarez </t>
  </si>
  <si>
    <t xml:space="preserve">Greg Vaughn </t>
  </si>
  <si>
    <t xml:space="preserve">Vinny Castilla </t>
  </si>
  <si>
    <t xml:space="preserve">Fred McGriff </t>
  </si>
  <si>
    <t xml:space="preserve">dl-Juan Guzman </t>
  </si>
  <si>
    <t xml:space="preserve">Albie Lopez </t>
  </si>
  <si>
    <t xml:space="preserve">Gerald Williams </t>
  </si>
  <si>
    <t xml:space="preserve">Ben Grieve </t>
  </si>
  <si>
    <t xml:space="preserve">John Flaherty </t>
  </si>
  <si>
    <t xml:space="preserve">Brian Rekar </t>
  </si>
  <si>
    <t xml:space="preserve">Jose Guillen </t>
  </si>
  <si>
    <t xml:space="preserve">Mike Difelice </t>
  </si>
  <si>
    <t xml:space="preserve">Ken Hill </t>
  </si>
  <si>
    <t xml:space="preserve">Ariel Prieto </t>
  </si>
  <si>
    <t xml:space="preserve">Esteban Yan </t>
  </si>
  <si>
    <t xml:space="preserve">Paul Wilson </t>
  </si>
  <si>
    <t xml:space="preserve">Russ Johnson </t>
  </si>
  <si>
    <t xml:space="preserve">Doug Creek </t>
  </si>
  <si>
    <t xml:space="preserve">Randy Winn </t>
  </si>
  <si>
    <t xml:space="preserve">Steve Cox </t>
  </si>
  <si>
    <t xml:space="preserve">Felix Martinez </t>
  </si>
  <si>
    <t xml:space="preserve">Bobby Smith </t>
  </si>
  <si>
    <t xml:space="preserve">Ryan Rupe </t>
  </si>
  <si>
    <t xml:space="preserve">Tanyon Sturtze </t>
  </si>
  <si>
    <t xml:space="preserve">Mike Judd </t>
  </si>
  <si>
    <t xml:space="preserve">Travis Harper </t>
  </si>
  <si>
    <t xml:space="preserve">Damian Rolls </t>
  </si>
  <si>
    <t xml:space="preserve">Alex Rodriguez </t>
  </si>
  <si>
    <t xml:space="preserve">Rafael Palmeiro </t>
  </si>
  <si>
    <t xml:space="preserve">Ivan Rodriguez </t>
  </si>
  <si>
    <t xml:space="preserve">Kenny Rogers </t>
  </si>
  <si>
    <t xml:space="preserve">Darren Oliver </t>
  </si>
  <si>
    <t xml:space="preserve">Andres Galarraga </t>
  </si>
  <si>
    <t xml:space="preserve">Rusty Greer </t>
  </si>
  <si>
    <t xml:space="preserve">Rick Helling </t>
  </si>
  <si>
    <t xml:space="preserve">Ken Caminiti </t>
  </si>
  <si>
    <t xml:space="preserve">Randy Velarde </t>
  </si>
  <si>
    <t xml:space="preserve">Mark Petkovsek </t>
  </si>
  <si>
    <t xml:space="preserve">Chad Curtis </t>
  </si>
  <si>
    <t xml:space="preserve">dl-Justin Thompson </t>
  </si>
  <si>
    <t xml:space="preserve">Tim Crabtree </t>
  </si>
  <si>
    <t xml:space="preserve">Frank Catalanotto </t>
  </si>
  <si>
    <t xml:space="preserve">dl-Bill Haselman </t>
  </si>
  <si>
    <t xml:space="preserve">Jeff Brantley </t>
  </si>
  <si>
    <t xml:space="preserve">Pat Mahomes </t>
  </si>
  <si>
    <t xml:space="preserve">dl-Gabe Kapler </t>
  </si>
  <si>
    <t xml:space="preserve">dl-Ricky Ledee </t>
  </si>
  <si>
    <t xml:space="preserve">Mike Venafro </t>
  </si>
  <si>
    <t xml:space="preserve">Jeff Zimmerman </t>
  </si>
  <si>
    <t xml:space="preserve">Ruben Mateo </t>
  </si>
  <si>
    <t xml:space="preserve">Doug Mirabelli </t>
  </si>
  <si>
    <t xml:space="preserve">dl-Francisco Cordero </t>
  </si>
  <si>
    <t xml:space="preserve">Scott Sheldon </t>
  </si>
  <si>
    <t xml:space="preserve">Doug Davis </t>
  </si>
  <si>
    <t xml:space="preserve">Ryan Glynn </t>
  </si>
  <si>
    <t xml:space="preserve">Bo Porter </t>
  </si>
  <si>
    <t xml:space="preserve">Jonathan Johnson </t>
  </si>
  <si>
    <t xml:space="preserve">dl-Danny Kolb </t>
  </si>
  <si>
    <t xml:space="preserve">Carlos Delgado </t>
  </si>
  <si>
    <t xml:space="preserve">Raul Mondesi </t>
  </si>
  <si>
    <t xml:space="preserve">Joey Hamilton </t>
  </si>
  <si>
    <t xml:space="preserve">Esteban Loaiza </t>
  </si>
  <si>
    <t xml:space="preserve">Darrin Fletcher </t>
  </si>
  <si>
    <t xml:space="preserve">Tony Batista </t>
  </si>
  <si>
    <t xml:space="preserve">dl-Mike Sirotka </t>
  </si>
  <si>
    <t xml:space="preserve">Chris Carpenter </t>
  </si>
  <si>
    <t xml:space="preserve">Homer Bush </t>
  </si>
  <si>
    <t xml:space="preserve">Brad Fullmer </t>
  </si>
  <si>
    <t xml:space="preserve">Steve Parris </t>
  </si>
  <si>
    <t xml:space="preserve">Dan Plesac </t>
  </si>
  <si>
    <t xml:space="preserve">Shannon Stewart </t>
  </si>
  <si>
    <t xml:space="preserve">Paul Quantrill </t>
  </si>
  <si>
    <t xml:space="preserve">Pedro Borbon </t>
  </si>
  <si>
    <t xml:space="preserve">Kelvim Escobar </t>
  </si>
  <si>
    <t xml:space="preserve">dl-Jeff Frye </t>
  </si>
  <si>
    <t xml:space="preserve">Lance Painter </t>
  </si>
  <si>
    <t xml:space="preserve">Billy Koch </t>
  </si>
  <si>
    <t xml:space="preserve">Alberto Castillo </t>
  </si>
  <si>
    <t xml:space="preserve">Brian Simmons </t>
  </si>
  <si>
    <t xml:space="preserve">Kevin Beirne </t>
  </si>
  <si>
    <t xml:space="preserve">Chris Woodward </t>
  </si>
  <si>
    <t xml:space="preserve">dl-Andy Thompson </t>
  </si>
  <si>
    <t xml:space="preserve">Ryan Freel </t>
  </si>
  <si>
    <t xml:space="preserve">Chris Michalek </t>
  </si>
  <si>
    <t>S.NO</t>
  </si>
  <si>
    <t>Year 1 cash flow</t>
  </si>
  <si>
    <t>Payback Period</t>
  </si>
  <si>
    <t>Growth</t>
  </si>
  <si>
    <t>Annual Cash flow</t>
  </si>
  <si>
    <t>Cumulative 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</si>
</sst>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0.0"/>
    <numFmt numFmtId="165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0"/>
      <name val="Arial"/>
      <family val="2"/>
    </font>
    <font>
      <b/>
      <sz val="10"/>
      <name val="Arial"/>
      <family val="2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9C6500"/>
      <name val="Aptos Narrow"/>
      <family val="2"/>
      <scheme val="minor"/>
    </font>
    <font>
      <b/>
      <sz val="18"/>
      <color theme="3"/>
      <name val="Aptos Display"/>
      <family val="2"/>
      <scheme val="maj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59999389629810485"/>
        <bgColor theme="5" tint="0.59999389629810485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39997558519241921"/>
        <bgColor theme="6" tint="0.39997558519241921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7" tint="0.39997558519241921"/>
        <bgColor theme="7" tint="0.39997558519241921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theme="8" tint="0.39997558519241921"/>
        <bgColor theme="8" tint="0.39997558519241921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39997558519241921"/>
        <bgColor theme="9" tint="0.39997558519241921"/>
      </patternFill>
    </fill>
    <fill>
      <patternFill patternType="solid">
        <fgColor rgb="FFFFC7CE"/>
        <bgColor rgb="FFFFC7CE"/>
      </patternFill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lightUp">
        <fgColor theme="0"/>
        <bgColor theme="4" tint="0.19998779259620961"/>
      </patternFill>
    </fill>
    <fill>
      <patternFill patternType="lightUp">
        <fgColor theme="0"/>
        <bgColor theme="5" tint="0.19998779259620961"/>
      </patternFill>
    </fill>
    <fill>
      <patternFill patternType="lightUp">
        <fgColor theme="0"/>
        <bgColor theme="6" tint="0.19998779259620961"/>
      </patternFill>
    </fill>
    <fill>
      <patternFill patternType="solid">
        <fgColor rgb="FFC6EFCE"/>
        <bgColor rgb="FFC6EFCE"/>
      </patternFill>
    </fill>
    <fill>
      <patternFill patternType="solid">
        <fgColor rgb="FFFFCC99"/>
        <bgColor rgb="FFFFCC99"/>
      </patternFill>
    </fill>
    <fill>
      <patternFill patternType="solid">
        <fgColor rgb="FFFFEB9C"/>
        <bgColor rgb="FFFFEB9C"/>
      </patternFill>
    </fill>
    <fill>
      <patternFill patternType="solid">
        <fgColor rgb="FFFFFFCC"/>
        <bgColor rgb="FFFFFFCC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7">
    <xf numFmtId="0" fontId="0" fillId="0" borderId="0"/>
    <xf numFmtId="4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4" fillId="0" borderId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8" fillId="0" borderId="5" applyNumberFormat="0" applyFill="0" applyAlignment="0" applyProtection="0"/>
    <xf numFmtId="0" fontId="8" fillId="0" borderId="0" applyNumberFormat="0" applyFill="0" applyBorder="0" applyAlignment="0" applyProtection="0"/>
    <xf numFmtId="0" fontId="14" fillId="0" borderId="8" applyNumberFormat="0" applyFill="0" applyAlignment="0" applyProtection="0"/>
    <xf numFmtId="0" fontId="16" fillId="0" borderId="0" applyNumberFormat="0" applyFill="0" applyBorder="0" applyAlignment="0" applyProtection="0"/>
    <xf numFmtId="0" fontId="1" fillId="0" borderId="11" applyNumberFormat="0" applyFill="0" applyAlignment="0" applyProtection="0"/>
    <xf numFmtId="0" fontId="17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17" fillId="14" borderId="0" applyNumberFormat="0" applyBorder="0" applyAlignment="0" applyProtection="0"/>
    <xf numFmtId="0" fontId="17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17" fillId="18" borderId="0" applyNumberFormat="0" applyBorder="0" applyAlignment="0" applyProtection="0"/>
    <xf numFmtId="0" fontId="17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17" fillId="22" borderId="0" applyNumberFormat="0" applyBorder="0" applyAlignment="0" applyProtection="0"/>
    <xf numFmtId="0" fontId="17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17" fillId="30" borderId="0" applyNumberFormat="0" applyBorder="0" applyAlignment="0" applyProtection="0"/>
    <xf numFmtId="0" fontId="10" fillId="31" borderId="0" applyNumberFormat="0" applyBorder="0" applyAlignment="0" applyProtection="0"/>
    <xf numFmtId="0" fontId="13" fillId="32" borderId="6" applyNumberFormat="0" applyAlignment="0" applyProtection="0"/>
    <xf numFmtId="0" fontId="15" fillId="33" borderId="9" applyNumberFormat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9" fillId="37" borderId="0" applyNumberFormat="0" applyBorder="0" applyAlignment="0" applyProtection="0"/>
    <xf numFmtId="0" fontId="11" fillId="38" borderId="6" applyNumberFormat="0" applyAlignment="0" applyProtection="0"/>
    <xf numFmtId="0" fontId="18" fillId="39" borderId="0" applyNumberFormat="0" applyBorder="0" applyAlignment="0" applyProtection="0"/>
    <xf numFmtId="0" fontId="4" fillId="40" borderId="10" applyNumberFormat="0" applyFont="0" applyAlignment="0" applyProtection="0"/>
    <xf numFmtId="0" fontId="12" fillId="32" borderId="7" applyNumberFormat="0" applyAlignment="0" applyProtection="0"/>
    <xf numFmtId="0" fontId="19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1" xfId="0" applyBorder="1"/>
    <xf numFmtId="164" fontId="1" fillId="2" borderId="1" xfId="0" applyNumberFormat="1" applyFont="1" applyFill="1" applyBorder="1" applyAlignment="1">
      <alignment horizontal="center"/>
    </xf>
    <xf numFmtId="0" fontId="0" fillId="3" borderId="1" xfId="0" applyFill="1" applyBorder="1"/>
    <xf numFmtId="0" fontId="1" fillId="3" borderId="1" xfId="0" applyFont="1" applyFill="1" applyBorder="1"/>
    <xf numFmtId="2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1" xfId="0" applyFill="1" applyBorder="1" applyAlignment="1">
      <alignment wrapText="1"/>
    </xf>
    <xf numFmtId="0" fontId="0" fillId="4" borderId="1" xfId="0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1" fillId="5" borderId="0" xfId="0" applyFont="1" applyFill="1"/>
    <xf numFmtId="44" fontId="0" fillId="0" borderId="1" xfId="1" applyFont="1" applyBorder="1"/>
    <xf numFmtId="0" fontId="1" fillId="5" borderId="1" xfId="0" applyFont="1" applyFill="1" applyBorder="1"/>
    <xf numFmtId="165" fontId="0" fillId="0" borderId="1" xfId="2" applyFont="1" applyBorder="1"/>
    <xf numFmtId="0" fontId="3" fillId="0" borderId="0" xfId="0" applyFont="1"/>
    <xf numFmtId="0" fontId="0" fillId="6" borderId="0" xfId="0" applyFill="1"/>
    <xf numFmtId="0" fontId="4" fillId="0" borderId="0" xfId="3"/>
    <xf numFmtId="0" fontId="4" fillId="0" borderId="1" xfId="3" applyBorder="1"/>
    <xf numFmtId="14" fontId="4" fillId="0" borderId="1" xfId="3" applyNumberFormat="1" applyBorder="1"/>
    <xf numFmtId="0" fontId="5" fillId="0" borderId="0" xfId="0" applyFont="1"/>
    <xf numFmtId="0" fontId="1" fillId="2" borderId="1" xfId="0" applyFont="1" applyFill="1" applyBorder="1"/>
    <xf numFmtId="0" fontId="0" fillId="6" borderId="1" xfId="0" applyFill="1" applyBorder="1"/>
    <xf numFmtId="0" fontId="1" fillId="3" borderId="0" xfId="0" applyFont="1" applyFill="1"/>
    <xf numFmtId="0" fontId="5" fillId="0" borderId="1" xfId="3" applyFont="1" applyBorder="1"/>
    <xf numFmtId="0" fontId="5" fillId="0" borderId="1" xfId="3" applyFont="1" applyBorder="1" applyAlignment="1">
      <alignment wrapText="1"/>
    </xf>
    <xf numFmtId="0" fontId="5" fillId="0" borderId="1" xfId="3" applyFont="1" applyBorder="1" applyAlignment="1">
      <alignment horizontal="center"/>
    </xf>
    <xf numFmtId="0" fontId="4" fillId="0" borderId="0" xfId="3"/>
    <xf numFmtId="0" fontId="4" fillId="3" borderId="12" xfId="3" applyFill="1" applyBorder="1"/>
    <xf numFmtId="0" fontId="4" fillId="2" borderId="1" xfId="3" applyFill="1" applyBorder="1"/>
    <xf numFmtId="0" fontId="4" fillId="2" borderId="1" xfId="3" applyFill="1" applyBorder="1" applyAlignment="1">
      <alignment horizontal="center"/>
    </xf>
    <xf numFmtId="0" fontId="0" fillId="4" borderId="1" xfId="0" applyFill="1" applyBorder="1"/>
    <xf numFmtId="0" fontId="4" fillId="4" borderId="1" xfId="3" applyFill="1" applyBorder="1" applyAlignment="1">
      <alignment horizontal="center"/>
    </xf>
    <xf numFmtId="0" fontId="4" fillId="0" borderId="1" xfId="3" applyBorder="1" applyAlignment="1">
      <alignment horizontal="center"/>
    </xf>
    <xf numFmtId="0" fontId="4" fillId="0" borderId="0" xfId="3"/>
  </cellXfs>
  <cellStyles count="47">
    <cellStyle name="Accent1 - 20%" xfId="12" xr:uid="{3E280A45-684F-4895-A932-92A2E2DC85BB}"/>
    <cellStyle name="Accent1 - 40%" xfId="13" xr:uid="{C8B50963-3420-4651-B350-9660BB200755}"/>
    <cellStyle name="Accent1 - 60%" xfId="14" xr:uid="{82AEDE38-37A5-4B7D-B9A9-B4BB7BE815E1}"/>
    <cellStyle name="Accent1 2" xfId="11" xr:uid="{BA6E3B14-009D-4E8F-B04B-F782BA9F7561}"/>
    <cellStyle name="Accent2 - 20%" xfId="16" xr:uid="{1CE16147-4B1C-423B-81C8-E1192FD17D44}"/>
    <cellStyle name="Accent2 - 40%" xfId="17" xr:uid="{2131F69E-0486-4DF9-8C14-B6381D8068A4}"/>
    <cellStyle name="Accent2 - 60%" xfId="18" xr:uid="{FE56653A-E4A2-4270-B55E-3C421F93966F}"/>
    <cellStyle name="Accent2 2" xfId="15" xr:uid="{424605D1-C985-4385-A5B1-E9CC5A2AF15B}"/>
    <cellStyle name="Accent3 - 20%" xfId="20" xr:uid="{DC47E592-7B08-4AB7-8FDA-3D2152F7A5D6}"/>
    <cellStyle name="Accent3 - 40%" xfId="21" xr:uid="{40B194F4-C4C8-435F-950D-6328B8C4EBC5}"/>
    <cellStyle name="Accent3 - 60%" xfId="22" xr:uid="{25F2B5E9-F7C3-4CF4-B310-3946439F4F31}"/>
    <cellStyle name="Accent3 2" xfId="19" xr:uid="{DBFEA5D3-C932-4D23-8C18-C84CBB01B904}"/>
    <cellStyle name="Accent4 - 20%" xfId="24" xr:uid="{EDFB483C-8701-4C1B-8DBA-0012E1C8202F}"/>
    <cellStyle name="Accent4 - 40%" xfId="25" xr:uid="{6A0F2D6A-4A18-4D65-A350-5D471FA1C6B6}"/>
    <cellStyle name="Accent4 - 60%" xfId="26" xr:uid="{34726507-0498-43E9-881D-2DD21C10BD41}"/>
    <cellStyle name="Accent4 2" xfId="23" xr:uid="{3A0A4C89-F220-4C91-B308-6F9DA73ACB8D}"/>
    <cellStyle name="Accent5 - 20%" xfId="28" xr:uid="{429F8D96-A5E5-4B90-A9AE-4A5114FF2D6A}"/>
    <cellStyle name="Accent5 - 40%" xfId="29" xr:uid="{CD707648-A239-44D6-AF8E-054A3E733205}"/>
    <cellStyle name="Accent5 - 60%" xfId="30" xr:uid="{D071F4F6-C081-4928-86E9-DA26DE7B0972}"/>
    <cellStyle name="Accent5 2" xfId="27" xr:uid="{CED54343-B307-409A-A688-99F6AAAEE5EA}"/>
    <cellStyle name="Accent6 - 20%" xfId="32" xr:uid="{06AEA43F-2AB8-48C1-9872-888F9E9BC8F0}"/>
    <cellStyle name="Accent6 - 40%" xfId="33" xr:uid="{31A213B9-53EF-4E34-8A49-BC4689EE10A7}"/>
    <cellStyle name="Accent6 - 60%" xfId="34" xr:uid="{AFD4FAEA-9999-44A2-84AB-639AD79DCAB5}"/>
    <cellStyle name="Accent6 2" xfId="31" xr:uid="{B0E83FCD-79F3-436A-BFEB-A475989E189A}"/>
    <cellStyle name="Bad 2" xfId="35" xr:uid="{1CA72347-FF83-4436-B578-693B4D1A92FE}"/>
    <cellStyle name="Calculation 2" xfId="36" xr:uid="{9B32B7D3-AA60-4EDE-8AA6-42244DCE7F29}"/>
    <cellStyle name="Check Cell 2" xfId="37" xr:uid="{1AFF1E46-CE99-48C2-8826-E4F41BAB2B5D}"/>
    <cellStyle name="Currency" xfId="1" builtinId="4"/>
    <cellStyle name="Currency 2" xfId="2" xr:uid="{D78CC9AB-FDE3-41F7-8827-42E96C7C06CB}"/>
    <cellStyle name="Emphasis 1" xfId="38" xr:uid="{59D23420-F07D-4A18-9D31-04E4D50407E7}"/>
    <cellStyle name="Emphasis 2" xfId="39" xr:uid="{3C068A55-EC58-462F-8544-96F3B22CDEBC}"/>
    <cellStyle name="Emphasis 3" xfId="40" xr:uid="{7B10F4D7-2466-457C-965C-D50E3B04480B}"/>
    <cellStyle name="Good 2" xfId="41" xr:uid="{063AF473-31CB-4CB3-AC0D-3A045BA6D380}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 2" xfId="42" xr:uid="{FF65862C-50BC-4277-A688-0D70AD31A9FE}"/>
    <cellStyle name="Linked Cell" xfId="8" builtinId="24" customBuiltin="1"/>
    <cellStyle name="Neutral 2" xfId="43" xr:uid="{770AF243-616A-4295-81A4-3C10CB4493F8}"/>
    <cellStyle name="Normal" xfId="0" builtinId="0"/>
    <cellStyle name="Normal 2" xfId="3" xr:uid="{0EABBE00-A4D1-4F50-9ACF-B8F5A0A38CA8}"/>
    <cellStyle name="Note 2" xfId="44" xr:uid="{944E9D45-49AE-4CDD-93E1-F2BBA5B1DFCF}"/>
    <cellStyle name="Output 2" xfId="45" xr:uid="{17A75980-588C-434A-B587-77BAFFA53ADE}"/>
    <cellStyle name="Sheet Title" xfId="46" xr:uid="{D11A4B6D-4D66-4E62-8814-D1446A6F9BAF}"/>
    <cellStyle name="Total" xfId="10" builtinId="25" customBuiltin="1"/>
    <cellStyle name="Warning Text" xfId="9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4B276-15F2-46EC-A17A-0E154D818A25}">
  <dimension ref="A2:H17"/>
  <sheetViews>
    <sheetView zoomScale="190" zoomScaleNormal="190" workbookViewId="0">
      <selection activeCell="B8" sqref="B8"/>
    </sheetView>
  </sheetViews>
  <sheetFormatPr defaultRowHeight="14.4" x14ac:dyDescent="0.3"/>
  <cols>
    <col min="1" max="1" width="10.77734375" bestFit="1" customWidth="1"/>
    <col min="2" max="2" width="10.6640625" customWidth="1"/>
    <col min="3" max="3" width="11.6640625" customWidth="1"/>
    <col min="7" max="7" width="10.33203125" bestFit="1" customWidth="1"/>
    <col min="8" max="8" width="13.6640625" bestFit="1" customWidth="1"/>
  </cols>
  <sheetData>
    <row r="2" spans="1:8" x14ac:dyDescent="0.3">
      <c r="A2" s="6" t="s">
        <v>6</v>
      </c>
      <c r="B2" s="1">
        <v>100</v>
      </c>
    </row>
    <row r="3" spans="1:8" x14ac:dyDescent="0.3">
      <c r="A3" s="6" t="s">
        <v>7</v>
      </c>
      <c r="B3" s="1">
        <v>20</v>
      </c>
    </row>
    <row r="4" spans="1:8" x14ac:dyDescent="0.3">
      <c r="A4" s="6" t="s">
        <v>8</v>
      </c>
      <c r="B4" s="1">
        <v>0.15</v>
      </c>
    </row>
    <row r="7" spans="1:8" ht="28.8" x14ac:dyDescent="0.3">
      <c r="A7" s="4" t="s">
        <v>9</v>
      </c>
      <c r="B7" s="7" t="s">
        <v>10</v>
      </c>
      <c r="C7" s="7" t="s">
        <v>11</v>
      </c>
      <c r="D7" s="3" t="s">
        <v>12</v>
      </c>
      <c r="E7" s="7" t="s">
        <v>13</v>
      </c>
      <c r="F7" s="7" t="s">
        <v>14</v>
      </c>
      <c r="G7" s="7" t="s">
        <v>15</v>
      </c>
      <c r="H7" s="7" t="s">
        <v>16</v>
      </c>
    </row>
    <row r="8" spans="1:8" x14ac:dyDescent="0.3">
      <c r="A8" s="8">
        <v>1</v>
      </c>
      <c r="B8" s="1">
        <f>$B$2</f>
        <v>100</v>
      </c>
      <c r="C8" s="1">
        <f>$B$3</f>
        <v>20</v>
      </c>
      <c r="D8" s="1">
        <f>$B$4*B8</f>
        <v>15</v>
      </c>
      <c r="E8" s="1">
        <f>B8+C8-D8</f>
        <v>105</v>
      </c>
      <c r="F8" s="1" t="str">
        <f ca="1">_xlfn.FORMULATEXT(B8)</f>
        <v>=$B$2</v>
      </c>
      <c r="G8" s="1" t="str">
        <f ca="1">_xlfn.FORMULATEXT(D8)</f>
        <v>=$B$4*B8</v>
      </c>
      <c r="H8" s="1" t="str">
        <f ca="1">_xlfn.FORMULATEXT(E8)</f>
        <v>=B8+C8-D8</v>
      </c>
    </row>
    <row r="9" spans="1:8" x14ac:dyDescent="0.3">
      <c r="A9" s="8">
        <v>2</v>
      </c>
      <c r="B9" s="1">
        <f>E8</f>
        <v>105</v>
      </c>
      <c r="C9" s="1">
        <f t="shared" ref="C9:C17" si="0">$B$3</f>
        <v>20</v>
      </c>
      <c r="D9" s="1">
        <f t="shared" ref="D9:D17" si="1">$B$4*B9</f>
        <v>15.75</v>
      </c>
      <c r="E9" s="1">
        <f t="shared" ref="E9:E17" si="2">B9+C9-D9</f>
        <v>109.25</v>
      </c>
      <c r="F9" s="1" t="str">
        <f t="shared" ref="F9:F17" ca="1" si="3">_xlfn.FORMULATEXT(B9)</f>
        <v>=E8</v>
      </c>
      <c r="G9" s="1" t="str">
        <f t="shared" ref="G9:G17" ca="1" si="4">_xlfn.FORMULATEXT(D9)</f>
        <v>=$B$4*B9</v>
      </c>
      <c r="H9" s="1" t="str">
        <f t="shared" ref="H9:H17" ca="1" si="5">_xlfn.FORMULATEXT(E9)</f>
        <v>=B9+C9-D9</v>
      </c>
    </row>
    <row r="10" spans="1:8" x14ac:dyDescent="0.3">
      <c r="A10" s="8">
        <v>3</v>
      </c>
      <c r="B10" s="1">
        <f t="shared" ref="B10:B17" si="6">E9</f>
        <v>109.25</v>
      </c>
      <c r="C10" s="1">
        <f t="shared" si="0"/>
        <v>20</v>
      </c>
      <c r="D10" s="1">
        <f t="shared" si="1"/>
        <v>16.387499999999999</v>
      </c>
      <c r="E10" s="1">
        <f t="shared" si="2"/>
        <v>112.8625</v>
      </c>
      <c r="F10" s="1" t="str">
        <f t="shared" ca="1" si="3"/>
        <v>=E9</v>
      </c>
      <c r="G10" s="1" t="str">
        <f t="shared" ca="1" si="4"/>
        <v>=$B$4*B10</v>
      </c>
      <c r="H10" s="1" t="str">
        <f t="shared" ca="1" si="5"/>
        <v>=B10+C10-D10</v>
      </c>
    </row>
    <row r="11" spans="1:8" x14ac:dyDescent="0.3">
      <c r="A11" s="8">
        <v>4</v>
      </c>
      <c r="B11" s="1">
        <f t="shared" si="6"/>
        <v>112.8625</v>
      </c>
      <c r="C11" s="1">
        <f t="shared" si="0"/>
        <v>20</v>
      </c>
      <c r="D11" s="1">
        <f t="shared" si="1"/>
        <v>16.929375</v>
      </c>
      <c r="E11" s="1">
        <f t="shared" si="2"/>
        <v>115.93312500000002</v>
      </c>
      <c r="F11" s="1" t="str">
        <f t="shared" ca="1" si="3"/>
        <v>=E10</v>
      </c>
      <c r="G11" s="1" t="str">
        <f t="shared" ca="1" si="4"/>
        <v>=$B$4*B11</v>
      </c>
      <c r="H11" s="1" t="str">
        <f t="shared" ca="1" si="5"/>
        <v>=B11+C11-D11</v>
      </c>
    </row>
    <row r="12" spans="1:8" x14ac:dyDescent="0.3">
      <c r="A12" s="8">
        <v>5</v>
      </c>
      <c r="B12" s="1">
        <f t="shared" si="6"/>
        <v>115.93312500000002</v>
      </c>
      <c r="C12" s="1">
        <f t="shared" si="0"/>
        <v>20</v>
      </c>
      <c r="D12" s="1">
        <f t="shared" si="1"/>
        <v>17.389968750000001</v>
      </c>
      <c r="E12" s="1">
        <f t="shared" si="2"/>
        <v>118.54315625000001</v>
      </c>
      <c r="F12" s="1" t="str">
        <f t="shared" ca="1" si="3"/>
        <v>=E11</v>
      </c>
      <c r="G12" s="1" t="str">
        <f t="shared" ca="1" si="4"/>
        <v>=$B$4*B12</v>
      </c>
      <c r="H12" s="1" t="str">
        <f t="shared" ca="1" si="5"/>
        <v>=B12+C12-D12</v>
      </c>
    </row>
    <row r="13" spans="1:8" x14ac:dyDescent="0.3">
      <c r="A13" s="8">
        <v>6</v>
      </c>
      <c r="B13" s="1">
        <f t="shared" si="6"/>
        <v>118.54315625000001</v>
      </c>
      <c r="C13" s="1">
        <f t="shared" si="0"/>
        <v>20</v>
      </c>
      <c r="D13" s="1">
        <f t="shared" si="1"/>
        <v>17.781473437500001</v>
      </c>
      <c r="E13" s="1">
        <f t="shared" si="2"/>
        <v>120.76168281250001</v>
      </c>
      <c r="F13" s="1" t="str">
        <f t="shared" ca="1" si="3"/>
        <v>=E12</v>
      </c>
      <c r="G13" s="1" t="str">
        <f t="shared" ca="1" si="4"/>
        <v>=$B$4*B13</v>
      </c>
      <c r="H13" s="1" t="str">
        <f t="shared" ca="1" si="5"/>
        <v>=B13+C13-D13</v>
      </c>
    </row>
    <row r="14" spans="1:8" x14ac:dyDescent="0.3">
      <c r="A14" s="8">
        <v>7</v>
      </c>
      <c r="B14" s="1">
        <f t="shared" si="6"/>
        <v>120.76168281250001</v>
      </c>
      <c r="C14" s="1">
        <f t="shared" si="0"/>
        <v>20</v>
      </c>
      <c r="D14" s="1">
        <f t="shared" si="1"/>
        <v>18.114252421875001</v>
      </c>
      <c r="E14" s="1">
        <f t="shared" si="2"/>
        <v>122.647430390625</v>
      </c>
      <c r="F14" s="1" t="str">
        <f t="shared" ca="1" si="3"/>
        <v>=E13</v>
      </c>
      <c r="G14" s="1" t="str">
        <f t="shared" ca="1" si="4"/>
        <v>=$B$4*B14</v>
      </c>
      <c r="H14" s="1" t="str">
        <f t="shared" ca="1" si="5"/>
        <v>=B14+C14-D14</v>
      </c>
    </row>
    <row r="15" spans="1:8" x14ac:dyDescent="0.3">
      <c r="A15" s="8">
        <v>8</v>
      </c>
      <c r="B15" s="1">
        <f t="shared" si="6"/>
        <v>122.647430390625</v>
      </c>
      <c r="C15" s="1">
        <f t="shared" si="0"/>
        <v>20</v>
      </c>
      <c r="D15" s="1">
        <f t="shared" si="1"/>
        <v>18.397114558593749</v>
      </c>
      <c r="E15" s="1">
        <f t="shared" si="2"/>
        <v>124.25031583203125</v>
      </c>
      <c r="F15" s="1" t="str">
        <f t="shared" ca="1" si="3"/>
        <v>=E14</v>
      </c>
      <c r="G15" s="1" t="str">
        <f t="shared" ca="1" si="4"/>
        <v>=$B$4*B15</v>
      </c>
      <c r="H15" s="1" t="str">
        <f t="shared" ca="1" si="5"/>
        <v>=B15+C15-D15</v>
      </c>
    </row>
    <row r="16" spans="1:8" x14ac:dyDescent="0.3">
      <c r="A16" s="8">
        <v>9</v>
      </c>
      <c r="B16" s="1">
        <f t="shared" si="6"/>
        <v>124.25031583203125</v>
      </c>
      <c r="C16" s="1">
        <f t="shared" si="0"/>
        <v>20</v>
      </c>
      <c r="D16" s="1">
        <f t="shared" si="1"/>
        <v>18.637547374804686</v>
      </c>
      <c r="E16" s="1">
        <f t="shared" si="2"/>
        <v>125.61276845722657</v>
      </c>
      <c r="F16" s="1" t="str">
        <f t="shared" ca="1" si="3"/>
        <v>=E15</v>
      </c>
      <c r="G16" s="1" t="str">
        <f t="shared" ca="1" si="4"/>
        <v>=$B$4*B16</v>
      </c>
      <c r="H16" s="1" t="str">
        <f t="shared" ca="1" si="5"/>
        <v>=B16+C16-D16</v>
      </c>
    </row>
    <row r="17" spans="1:8" x14ac:dyDescent="0.3">
      <c r="A17" s="8">
        <v>10</v>
      </c>
      <c r="B17" s="1">
        <f t="shared" si="6"/>
        <v>125.61276845722657</v>
      </c>
      <c r="C17" s="1">
        <f t="shared" si="0"/>
        <v>20</v>
      </c>
      <c r="D17" s="1">
        <f t="shared" si="1"/>
        <v>18.841915268583985</v>
      </c>
      <c r="E17" s="1">
        <f t="shared" si="2"/>
        <v>126.77085318864258</v>
      </c>
      <c r="F17" s="1" t="str">
        <f t="shared" ca="1" si="3"/>
        <v>=E16</v>
      </c>
      <c r="G17" s="1" t="str">
        <f t="shared" ca="1" si="4"/>
        <v>=$B$4*B17</v>
      </c>
      <c r="H17" s="1" t="str">
        <f t="shared" ca="1" si="5"/>
        <v>=B17+C17-D17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DE9EE-C0AD-4F37-B849-076FF74CD915}">
  <dimension ref="A2:J13"/>
  <sheetViews>
    <sheetView zoomScale="175" zoomScaleNormal="175" workbookViewId="0">
      <selection activeCell="J11" sqref="J10:J11"/>
    </sheetView>
  </sheetViews>
  <sheetFormatPr defaultRowHeight="14.4" x14ac:dyDescent="0.3"/>
  <cols>
    <col min="1" max="1" width="15.109375" customWidth="1"/>
    <col min="10" max="10" width="26.6640625" bestFit="1" customWidth="1"/>
  </cols>
  <sheetData>
    <row r="2" spans="1:10" x14ac:dyDescent="0.3">
      <c r="A2" t="s">
        <v>0</v>
      </c>
    </row>
    <row r="4" spans="1:10" x14ac:dyDescent="0.3">
      <c r="A4" t="s">
        <v>1</v>
      </c>
      <c r="B4">
        <v>15</v>
      </c>
    </row>
    <row r="5" spans="1:10" x14ac:dyDescent="0.3">
      <c r="A5" t="s">
        <v>2</v>
      </c>
      <c r="B5">
        <v>100</v>
      </c>
    </row>
    <row r="6" spans="1:10" x14ac:dyDescent="0.3">
      <c r="A6" t="s">
        <v>3</v>
      </c>
    </row>
    <row r="8" spans="1:10" x14ac:dyDescent="0.3">
      <c r="A8" s="1"/>
      <c r="B8" s="4" t="s">
        <v>4</v>
      </c>
      <c r="C8" s="1"/>
      <c r="D8" s="1"/>
      <c r="E8" s="1"/>
      <c r="F8" s="1"/>
      <c r="G8" s="1"/>
      <c r="H8" s="1"/>
    </row>
    <row r="9" spans="1:10" x14ac:dyDescent="0.3">
      <c r="A9" s="4" t="s">
        <v>5</v>
      </c>
      <c r="B9" s="2">
        <v>2</v>
      </c>
      <c r="C9" s="2">
        <v>2.5</v>
      </c>
      <c r="D9" s="2">
        <v>3</v>
      </c>
      <c r="E9" s="2">
        <v>3.5</v>
      </c>
      <c r="F9" s="2">
        <v>4</v>
      </c>
      <c r="G9" s="2">
        <v>4.5</v>
      </c>
      <c r="H9" s="2">
        <v>5</v>
      </c>
    </row>
    <row r="10" spans="1:10" x14ac:dyDescent="0.3">
      <c r="A10" s="2">
        <v>0.5</v>
      </c>
      <c r="B10" s="5">
        <f>($B$5-$B$4*B$9)*(B$9-$A10)</f>
        <v>105</v>
      </c>
      <c r="C10" s="5">
        <f t="shared" ref="C10:H13" si="0">($B$5-$B$4*C$9)*(C$9-$A10)</f>
        <v>125</v>
      </c>
      <c r="D10" s="5">
        <f t="shared" si="0"/>
        <v>137.5</v>
      </c>
      <c r="E10" s="5">
        <f t="shared" si="0"/>
        <v>142.5</v>
      </c>
      <c r="F10" s="5">
        <f t="shared" si="0"/>
        <v>140</v>
      </c>
      <c r="G10" s="5">
        <f t="shared" si="0"/>
        <v>130</v>
      </c>
      <c r="H10" s="5">
        <f t="shared" si="0"/>
        <v>112.5</v>
      </c>
      <c r="J10" s="9" t="str">
        <f ca="1">_xlfn.FORMULATEXT(B10)</f>
        <v>=($B$5-$B$4*B$9)*(B$9-$A10)</v>
      </c>
    </row>
    <row r="11" spans="1:10" x14ac:dyDescent="0.3">
      <c r="A11" s="2">
        <v>1</v>
      </c>
      <c r="B11" s="5">
        <f t="shared" ref="B11:B13" si="1">($B$5-$B$4*B$9)*(B$9-$A11)</f>
        <v>70</v>
      </c>
      <c r="C11" s="5">
        <f t="shared" si="0"/>
        <v>93.75</v>
      </c>
      <c r="D11" s="5">
        <f t="shared" si="0"/>
        <v>110</v>
      </c>
      <c r="E11" s="5">
        <f t="shared" si="0"/>
        <v>118.75</v>
      </c>
      <c r="F11" s="5">
        <f t="shared" si="0"/>
        <v>120</v>
      </c>
      <c r="G11" s="5">
        <f t="shared" si="0"/>
        <v>113.75</v>
      </c>
      <c r="H11" s="5">
        <f t="shared" si="0"/>
        <v>100</v>
      </c>
    </row>
    <row r="12" spans="1:10" x14ac:dyDescent="0.3">
      <c r="A12" s="2">
        <v>1.5</v>
      </c>
      <c r="B12" s="5">
        <f t="shared" si="1"/>
        <v>35</v>
      </c>
      <c r="C12" s="5">
        <f t="shared" si="0"/>
        <v>62.5</v>
      </c>
      <c r="D12" s="5">
        <f t="shared" si="0"/>
        <v>82.5</v>
      </c>
      <c r="E12" s="5">
        <f t="shared" si="0"/>
        <v>95</v>
      </c>
      <c r="F12" s="5">
        <f t="shared" si="0"/>
        <v>100</v>
      </c>
      <c r="G12" s="5">
        <f t="shared" si="0"/>
        <v>97.5</v>
      </c>
      <c r="H12" s="5">
        <f t="shared" si="0"/>
        <v>87.5</v>
      </c>
    </row>
    <row r="13" spans="1:10" x14ac:dyDescent="0.3">
      <c r="A13" s="2">
        <v>2</v>
      </c>
      <c r="B13" s="5">
        <f t="shared" si="1"/>
        <v>0</v>
      </c>
      <c r="C13" s="5">
        <f t="shared" si="0"/>
        <v>31.25</v>
      </c>
      <c r="D13" s="5">
        <f t="shared" si="0"/>
        <v>55</v>
      </c>
      <c r="E13" s="5">
        <f t="shared" si="0"/>
        <v>71.25</v>
      </c>
      <c r="F13" s="5">
        <f t="shared" si="0"/>
        <v>80</v>
      </c>
      <c r="G13" s="5">
        <f t="shared" si="0"/>
        <v>81.25</v>
      </c>
      <c r="H13" s="5">
        <f t="shared" si="0"/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1B10F-FBFF-4463-AF8B-5271E6ED290A}">
  <dimension ref="A1:J13"/>
  <sheetViews>
    <sheetView zoomScale="205" zoomScaleNormal="205" workbookViewId="0">
      <selection activeCell="C10" sqref="C10"/>
    </sheetView>
  </sheetViews>
  <sheetFormatPr defaultRowHeight="14.4" x14ac:dyDescent="0.3"/>
  <cols>
    <col min="1" max="1" width="7.5546875" customWidth="1"/>
    <col min="2" max="2" width="7.21875" customWidth="1"/>
    <col min="6" max="6" width="16.5546875" bestFit="1" customWidth="1"/>
    <col min="9" max="9" width="6.109375" customWidth="1"/>
    <col min="10" max="10" width="10.88671875" bestFit="1" customWidth="1"/>
  </cols>
  <sheetData>
    <row r="1" spans="1:10" x14ac:dyDescent="0.3">
      <c r="A1" s="1" t="s">
        <v>17</v>
      </c>
      <c r="B1" s="10" t="s">
        <v>18</v>
      </c>
      <c r="D1" s="11" t="s">
        <v>23</v>
      </c>
      <c r="E1" s="11"/>
      <c r="F1" s="11"/>
    </row>
    <row r="2" spans="1:10" x14ac:dyDescent="0.3">
      <c r="A2" s="1" t="s">
        <v>19</v>
      </c>
      <c r="B2" s="10">
        <v>5</v>
      </c>
      <c r="D2" s="1" t="s">
        <v>24</v>
      </c>
      <c r="E2" s="10">
        <f>SUM(Region)</f>
        <v>39</v>
      </c>
      <c r="F2" s="1" t="str">
        <f ca="1">_xlfn.FORMULATEXT(E2)</f>
        <v>=SUM(Region)</v>
      </c>
    </row>
    <row r="3" spans="1:10" x14ac:dyDescent="0.3">
      <c r="A3" s="1" t="s">
        <v>20</v>
      </c>
      <c r="B3" s="10">
        <v>10</v>
      </c>
      <c r="D3" s="1" t="s">
        <v>25</v>
      </c>
      <c r="E3" s="10">
        <f>AVERAGE(Region)</f>
        <v>9.75</v>
      </c>
      <c r="F3" s="1" t="str">
        <f ca="1">_xlfn.FORMULATEXT(E3)</f>
        <v>=AVERAGE(Region)</v>
      </c>
    </row>
    <row r="4" spans="1:10" x14ac:dyDescent="0.3">
      <c r="A4" s="1" t="s">
        <v>21</v>
      </c>
      <c r="B4" s="10">
        <v>17</v>
      </c>
      <c r="D4" s="1" t="s">
        <v>26</v>
      </c>
      <c r="E4" s="10">
        <f>MAX(Region)</f>
        <v>17</v>
      </c>
      <c r="F4" s="1" t="str">
        <f ca="1">_xlfn.FORMULATEXT(E4)</f>
        <v>=MAX(Region)</v>
      </c>
      <c r="H4" t="s">
        <v>28</v>
      </c>
      <c r="I4" t="s">
        <v>29</v>
      </c>
    </row>
    <row r="5" spans="1:10" x14ac:dyDescent="0.3">
      <c r="A5" s="1" t="s">
        <v>22</v>
      </c>
      <c r="B5" s="10">
        <v>7</v>
      </c>
      <c r="D5" s="1" t="s">
        <v>27</v>
      </c>
      <c r="E5" s="10">
        <f>MIN(Region)</f>
        <v>5</v>
      </c>
      <c r="F5" s="1" t="str">
        <f ca="1">_xlfn.FORMULATEXT(E5)</f>
        <v>=MIN(Region)</v>
      </c>
      <c r="H5" t="s">
        <v>17</v>
      </c>
      <c r="I5" t="s">
        <v>30</v>
      </c>
    </row>
    <row r="8" spans="1:10" x14ac:dyDescent="0.3">
      <c r="A8" s="13">
        <v>1</v>
      </c>
      <c r="B8" s="13">
        <v>2</v>
      </c>
      <c r="H8" s="1" t="s">
        <v>24</v>
      </c>
      <c r="I8" s="1">
        <f>SUM(Data)</f>
        <v>54</v>
      </c>
      <c r="J8" s="1" t="str">
        <f ca="1">_xlfn.FORMULATEXT(I8)</f>
        <v>=SUM(Data)</v>
      </c>
    </row>
    <row r="9" spans="1:10" x14ac:dyDescent="0.3">
      <c r="A9" s="13">
        <v>3</v>
      </c>
      <c r="B9" s="13">
        <v>4</v>
      </c>
    </row>
    <row r="10" spans="1:10" x14ac:dyDescent="0.3">
      <c r="E10" s="13">
        <v>6</v>
      </c>
      <c r="F10" s="13">
        <v>7</v>
      </c>
      <c r="G10" s="13">
        <v>10</v>
      </c>
    </row>
    <row r="11" spans="1:10" x14ac:dyDescent="0.3">
      <c r="E11" s="13">
        <v>8</v>
      </c>
      <c r="F11" s="13">
        <v>9</v>
      </c>
      <c r="G11" s="13">
        <v>1</v>
      </c>
    </row>
    <row r="13" spans="1:10" x14ac:dyDescent="0.3">
      <c r="A13" s="13">
        <v>1</v>
      </c>
      <c r="B13" s="1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F67F7-C198-4757-B65D-BCAC37CFB00B}">
  <dimension ref="A1:L20"/>
  <sheetViews>
    <sheetView workbookViewId="0">
      <selection activeCell="H5" sqref="H5"/>
    </sheetView>
  </sheetViews>
  <sheetFormatPr defaultRowHeight="14.4" x14ac:dyDescent="0.3"/>
  <cols>
    <col min="4" max="4" width="18.77734375" bestFit="1" customWidth="1"/>
    <col min="6" max="6" width="11.77734375" bestFit="1" customWidth="1"/>
    <col min="11" max="11" width="10.21875" bestFit="1" customWidth="1"/>
  </cols>
  <sheetData>
    <row r="1" spans="1:12" x14ac:dyDescent="0.3">
      <c r="A1" s="14" t="s">
        <v>31</v>
      </c>
      <c r="B1" s="14">
        <v>0.1</v>
      </c>
    </row>
    <row r="3" spans="1:12" x14ac:dyDescent="0.3">
      <c r="A3" s="1"/>
      <c r="B3" s="16" t="s">
        <v>32</v>
      </c>
    </row>
    <row r="4" spans="1:12" x14ac:dyDescent="0.3">
      <c r="A4" s="12">
        <v>2011</v>
      </c>
      <c r="B4" s="15">
        <v>300</v>
      </c>
      <c r="D4" t="s">
        <v>3</v>
      </c>
    </row>
    <row r="5" spans="1:12" x14ac:dyDescent="0.3">
      <c r="A5" s="12">
        <v>2012</v>
      </c>
      <c r="B5" s="15">
        <f t="shared" ref="B5:B11" si="0">LastYear*(1+growth)</f>
        <v>330</v>
      </c>
      <c r="D5" s="1" t="str">
        <f t="shared" ref="D5:D11" ca="1" si="1">_xlfn.FORMULATEXT(B5)</f>
        <v>=LastYear*(1+growth)</v>
      </c>
    </row>
    <row r="6" spans="1:12" x14ac:dyDescent="0.3">
      <c r="A6" s="12">
        <v>2013</v>
      </c>
      <c r="B6" s="15">
        <f t="shared" si="0"/>
        <v>363.00000000000006</v>
      </c>
      <c r="D6" s="1" t="str">
        <f t="shared" ca="1" si="1"/>
        <v>=LastYear*(1+growth)</v>
      </c>
    </row>
    <row r="7" spans="1:12" x14ac:dyDescent="0.3">
      <c r="A7" s="12">
        <v>2014</v>
      </c>
      <c r="B7" s="15">
        <f t="shared" si="0"/>
        <v>399.30000000000007</v>
      </c>
      <c r="D7" s="1" t="str">
        <f t="shared" ca="1" si="1"/>
        <v>=LastYear*(1+growth)</v>
      </c>
    </row>
    <row r="8" spans="1:12" x14ac:dyDescent="0.3">
      <c r="A8" s="12">
        <v>2015</v>
      </c>
      <c r="B8" s="15">
        <f t="shared" si="0"/>
        <v>439.23000000000013</v>
      </c>
      <c r="D8" s="1" t="str">
        <f t="shared" ca="1" si="1"/>
        <v>=LastYear*(1+growth)</v>
      </c>
    </row>
    <row r="9" spans="1:12" x14ac:dyDescent="0.3">
      <c r="A9" s="12">
        <v>2016</v>
      </c>
      <c r="B9" s="15">
        <f t="shared" si="0"/>
        <v>483.15300000000019</v>
      </c>
      <c r="D9" s="1" t="str">
        <f t="shared" ca="1" si="1"/>
        <v>=LastYear*(1+growth)</v>
      </c>
    </row>
    <row r="10" spans="1:12" x14ac:dyDescent="0.3">
      <c r="A10" s="12">
        <v>2017</v>
      </c>
      <c r="B10" s="15">
        <f t="shared" si="0"/>
        <v>531.46830000000023</v>
      </c>
      <c r="D10" s="1" t="str">
        <f t="shared" ca="1" si="1"/>
        <v>=LastYear*(1+growth)</v>
      </c>
    </row>
    <row r="11" spans="1:12" x14ac:dyDescent="0.3">
      <c r="A11" s="12">
        <v>2018</v>
      </c>
      <c r="B11" s="15">
        <f t="shared" si="0"/>
        <v>584.61513000000025</v>
      </c>
      <c r="D11" s="1" t="str">
        <f t="shared" ca="1" si="1"/>
        <v>=LastYear*(1+growth)</v>
      </c>
    </row>
    <row r="13" spans="1:12" x14ac:dyDescent="0.3">
      <c r="E13" s="1"/>
      <c r="F13" s="1" t="s">
        <v>33</v>
      </c>
      <c r="G13" s="1" t="s">
        <v>34</v>
      </c>
      <c r="H13" s="1" t="s">
        <v>35</v>
      </c>
      <c r="I13" s="1" t="s">
        <v>36</v>
      </c>
      <c r="J13" s="1" t="s">
        <v>37</v>
      </c>
      <c r="K13" s="1" t="s">
        <v>38</v>
      </c>
      <c r="L13" s="1" t="s">
        <v>39</v>
      </c>
    </row>
    <row r="14" spans="1:12" x14ac:dyDescent="0.3">
      <c r="E14" s="1" t="s">
        <v>40</v>
      </c>
      <c r="F14" s="17">
        <v>5</v>
      </c>
      <c r="G14" s="17">
        <v>6</v>
      </c>
      <c r="H14" s="17">
        <v>7</v>
      </c>
      <c r="I14" s="17">
        <v>8</v>
      </c>
      <c r="J14" s="17">
        <v>9</v>
      </c>
      <c r="K14" s="17">
        <v>15</v>
      </c>
      <c r="L14" s="17">
        <v>15</v>
      </c>
    </row>
    <row r="15" spans="1:12" x14ac:dyDescent="0.3">
      <c r="E15" s="1" t="s">
        <v>41</v>
      </c>
      <c r="F15" s="1">
        <v>55</v>
      </c>
      <c r="G15" s="1">
        <v>65</v>
      </c>
      <c r="H15" s="1">
        <v>75</v>
      </c>
      <c r="I15" s="1">
        <v>65</v>
      </c>
      <c r="J15" s="1">
        <v>77</v>
      </c>
      <c r="K15" s="1">
        <v>88</v>
      </c>
      <c r="L15" s="1">
        <v>36</v>
      </c>
    </row>
    <row r="16" spans="1:12" x14ac:dyDescent="0.3">
      <c r="E16" s="1" t="s">
        <v>42</v>
      </c>
      <c r="F16" s="17" cm="1">
        <f t="array" ref="F16:L16">wage*hours</f>
        <v>275</v>
      </c>
      <c r="G16" s="17">
        <v>390</v>
      </c>
      <c r="H16" s="17">
        <v>525</v>
      </c>
      <c r="I16" s="17">
        <v>520</v>
      </c>
      <c r="J16" s="17">
        <v>693</v>
      </c>
      <c r="K16" s="17">
        <v>1320</v>
      </c>
      <c r="L16" s="17">
        <v>540</v>
      </c>
    </row>
    <row r="19" spans="6:7" x14ac:dyDescent="0.3">
      <c r="F19" t="str">
        <f ca="1">_xlfn.FORMULATEXT(F16)</f>
        <v>=wage*hours</v>
      </c>
    </row>
    <row r="20" spans="6:7" x14ac:dyDescent="0.3">
      <c r="G20" t="s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E244D-57C5-4065-B71C-172F8C476309}">
  <dimension ref="B3:K32"/>
  <sheetViews>
    <sheetView topLeftCell="A4" workbookViewId="0">
      <selection activeCell="K21" sqref="K21"/>
    </sheetView>
  </sheetViews>
  <sheetFormatPr defaultRowHeight="14.4" x14ac:dyDescent="0.3"/>
  <cols>
    <col min="3" max="3" width="15.33203125" customWidth="1"/>
    <col min="4" max="4" width="12.5546875" bestFit="1" customWidth="1"/>
    <col min="5" max="5" width="10.33203125" bestFit="1" customWidth="1"/>
    <col min="7" max="7" width="14.44140625" bestFit="1" customWidth="1"/>
    <col min="8" max="8" width="13" customWidth="1"/>
    <col min="10" max="10" width="17" bestFit="1" customWidth="1"/>
    <col min="11" max="11" width="13" customWidth="1"/>
    <col min="12" max="12" width="7" customWidth="1"/>
    <col min="13" max="13" width="8.109375" customWidth="1"/>
  </cols>
  <sheetData>
    <row r="3" spans="3:10" x14ac:dyDescent="0.3">
      <c r="C3" s="18" t="s">
        <v>43</v>
      </c>
    </row>
    <row r="5" spans="3:10" x14ac:dyDescent="0.3">
      <c r="D5" s="1" t="s">
        <v>44</v>
      </c>
      <c r="E5" s="1" t="s">
        <v>45</v>
      </c>
      <c r="G5" t="s">
        <v>46</v>
      </c>
    </row>
    <row r="6" spans="3:10" x14ac:dyDescent="0.3">
      <c r="D6" s="1">
        <v>0</v>
      </c>
      <c r="E6" s="1">
        <v>0.15</v>
      </c>
    </row>
    <row r="7" spans="3:10" x14ac:dyDescent="0.3">
      <c r="D7" s="1">
        <v>10000</v>
      </c>
      <c r="E7" s="1">
        <v>0.3</v>
      </c>
    </row>
    <row r="8" spans="3:10" x14ac:dyDescent="0.3">
      <c r="D8" s="1">
        <v>30000</v>
      </c>
      <c r="E8" s="1">
        <v>0.34</v>
      </c>
    </row>
    <row r="9" spans="3:10" x14ac:dyDescent="0.3">
      <c r="D9" s="1">
        <v>100000</v>
      </c>
      <c r="E9" s="1">
        <v>0.4</v>
      </c>
      <c r="J9" t="s">
        <v>47</v>
      </c>
    </row>
    <row r="10" spans="3:10" x14ac:dyDescent="0.3">
      <c r="H10" s="1" t="s">
        <v>48</v>
      </c>
      <c r="I10" s="1" t="s">
        <v>4</v>
      </c>
    </row>
    <row r="11" spans="3:10" x14ac:dyDescent="0.3">
      <c r="D11" s="1"/>
      <c r="E11" s="1" t="b">
        <v>1</v>
      </c>
      <c r="F11" s="1" t="b">
        <v>0</v>
      </c>
      <c r="H11" s="1" t="s">
        <v>49</v>
      </c>
      <c r="I11" s="15">
        <v>3.5</v>
      </c>
    </row>
    <row r="12" spans="3:10" x14ac:dyDescent="0.3">
      <c r="D12" s="1" t="s">
        <v>44</v>
      </c>
      <c r="E12" s="1" t="s">
        <v>50</v>
      </c>
      <c r="F12" s="1"/>
      <c r="H12" s="1" t="s">
        <v>51</v>
      </c>
      <c r="I12" s="15">
        <v>4.2</v>
      </c>
    </row>
    <row r="13" spans="3:10" x14ac:dyDescent="0.3">
      <c r="D13" s="1">
        <v>-1000</v>
      </c>
      <c r="E13" s="1" t="e">
        <f>VLOOKUP(D13,$D$6:$E$9,2,TRUE)</f>
        <v>#N/A</v>
      </c>
      <c r="F13" s="1" t="e">
        <f>VLOOKUP(D13,$D$6:$E$9,2,FALSE)</f>
        <v>#N/A</v>
      </c>
      <c r="H13" s="1" t="s">
        <v>52</v>
      </c>
      <c r="I13" s="15">
        <v>4.8</v>
      </c>
    </row>
    <row r="14" spans="3:10" x14ac:dyDescent="0.3">
      <c r="D14" s="1">
        <v>30000</v>
      </c>
      <c r="E14" s="1">
        <f t="shared" ref="E14:E17" si="0">VLOOKUP(D14,$D$6:$E$9,2,TRUE)</f>
        <v>0.34</v>
      </c>
      <c r="F14" s="1">
        <f t="shared" ref="F14:F17" si="1">VLOOKUP(D14,$D$6:$E$9,2,FALSE)</f>
        <v>0.34</v>
      </c>
      <c r="H14" s="1" t="s">
        <v>53</v>
      </c>
      <c r="I14" s="15">
        <v>5</v>
      </c>
    </row>
    <row r="15" spans="3:10" x14ac:dyDescent="0.3">
      <c r="D15" s="1">
        <v>29000</v>
      </c>
      <c r="E15" s="1">
        <f t="shared" si="0"/>
        <v>0.3</v>
      </c>
      <c r="F15" s="1" t="e">
        <f t="shared" si="1"/>
        <v>#N/A</v>
      </c>
      <c r="H15" s="1" t="s">
        <v>54</v>
      </c>
      <c r="I15" s="15">
        <v>5.2</v>
      </c>
    </row>
    <row r="16" spans="3:10" x14ac:dyDescent="0.3">
      <c r="D16" s="1">
        <v>98000</v>
      </c>
      <c r="E16" s="1">
        <f t="shared" si="0"/>
        <v>0.34</v>
      </c>
      <c r="F16" s="1" t="e">
        <f t="shared" si="1"/>
        <v>#N/A</v>
      </c>
    </row>
    <row r="17" spans="2:11" x14ac:dyDescent="0.3">
      <c r="D17" s="1">
        <v>104000</v>
      </c>
      <c r="E17" s="1">
        <f t="shared" si="0"/>
        <v>0.4</v>
      </c>
      <c r="F17" s="1" t="e">
        <f t="shared" si="1"/>
        <v>#N/A</v>
      </c>
      <c r="H17" s="1" t="s">
        <v>55</v>
      </c>
      <c r="I17" s="1" t="s">
        <v>4</v>
      </c>
    </row>
    <row r="18" spans="2:11" x14ac:dyDescent="0.3">
      <c r="H18" s="1" t="s">
        <v>54</v>
      </c>
      <c r="I18" s="1">
        <f>VLOOKUP(H18,$H$11:$I$15,2,FALSE)</f>
        <v>5.2</v>
      </c>
      <c r="K18" t="str">
        <f ca="1">_xlfn.FORMULATEXT(I18)</f>
        <v>=VLOOKUP(H18,$H$11:$I$15,2,FALSE)</v>
      </c>
    </row>
    <row r="19" spans="2:11" x14ac:dyDescent="0.3">
      <c r="H19" s="1" t="s">
        <v>54</v>
      </c>
      <c r="I19" s="1">
        <f>VLOOKUP(H19,$H$11:$I$15,2,FALSE)</f>
        <v>5.2</v>
      </c>
      <c r="K19" t="str">
        <f ca="1">_xlfn.FORMULATEXT(I19)</f>
        <v>=VLOOKUP(H19,$H$11:$I$15,2,FALSE)</v>
      </c>
    </row>
    <row r="20" spans="2:11" x14ac:dyDescent="0.3">
      <c r="C20" s="18"/>
    </row>
    <row r="22" spans="2:11" x14ac:dyDescent="0.3">
      <c r="J22" s="19"/>
    </row>
    <row r="23" spans="2:11" x14ac:dyDescent="0.3">
      <c r="B23" s="21" t="s">
        <v>56</v>
      </c>
      <c r="C23" s="22">
        <v>38353</v>
      </c>
      <c r="D23" s="22">
        <v>38473</v>
      </c>
      <c r="E23" s="22">
        <v>38565</v>
      </c>
    </row>
    <row r="24" spans="2:11" x14ac:dyDescent="0.3">
      <c r="B24" s="21" t="s">
        <v>4</v>
      </c>
      <c r="C24" s="21">
        <v>98</v>
      </c>
      <c r="D24" s="21">
        <v>105</v>
      </c>
      <c r="E24" s="21">
        <v>112</v>
      </c>
    </row>
    <row r="26" spans="2:11" x14ac:dyDescent="0.3">
      <c r="B26" s="20"/>
      <c r="C26" s="20"/>
      <c r="D26" s="20" t="s">
        <v>57</v>
      </c>
      <c r="E26" s="20"/>
    </row>
    <row r="28" spans="2:11" x14ac:dyDescent="0.3">
      <c r="B28" s="20"/>
      <c r="C28" s="21" t="s">
        <v>56</v>
      </c>
      <c r="D28" s="21" t="s">
        <v>4</v>
      </c>
      <c r="E28" s="20"/>
    </row>
    <row r="29" spans="2:11" x14ac:dyDescent="0.3">
      <c r="B29" s="20"/>
      <c r="C29" s="22">
        <v>38356</v>
      </c>
      <c r="D29" s="21">
        <f>HLOOKUP(C29,$C$23:$E$24,2,TRUE)</f>
        <v>98</v>
      </c>
      <c r="E29" s="20"/>
      <c r="F29" t="str">
        <f ca="1">_xlfn.FORMULATEXT(D29)</f>
        <v>=HLOOKUP(C29,$C$23:$E$24,2,TRUE)</v>
      </c>
    </row>
    <row r="30" spans="2:11" x14ac:dyDescent="0.3">
      <c r="B30" s="20"/>
      <c r="C30" s="22">
        <v>38482</v>
      </c>
      <c r="D30" s="21">
        <f t="shared" ref="D30:D32" si="2">HLOOKUP(C30,$C$23:$E$24,2,TRUE)</f>
        <v>105</v>
      </c>
      <c r="E30" s="20"/>
      <c r="F30" t="str">
        <f t="shared" ref="F30:F32" ca="1" si="3">_xlfn.FORMULATEXT(D30)</f>
        <v>=HLOOKUP(C30,$C$23:$E$24,2,TRUE)</v>
      </c>
    </row>
    <row r="31" spans="2:11" x14ac:dyDescent="0.3">
      <c r="B31" s="20"/>
      <c r="C31" s="22">
        <v>38607</v>
      </c>
      <c r="D31" s="21">
        <f t="shared" si="2"/>
        <v>112</v>
      </c>
      <c r="E31" s="20"/>
      <c r="F31" t="str">
        <f t="shared" ca="1" si="3"/>
        <v>=HLOOKUP(C31,$C$23:$E$24,2,TRUE)</v>
      </c>
    </row>
    <row r="32" spans="2:11" x14ac:dyDescent="0.3">
      <c r="B32" s="20"/>
      <c r="C32" s="22">
        <v>38473</v>
      </c>
      <c r="D32" s="21">
        <f t="shared" si="2"/>
        <v>105</v>
      </c>
      <c r="E32" s="20"/>
      <c r="F32" t="str">
        <f t="shared" ca="1" si="3"/>
        <v>=HLOOKUP(C32,$C$23:$E$24,2,TRUE)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46379-5035-4B22-9849-DA81AB789033}">
  <dimension ref="A4:Q28"/>
  <sheetViews>
    <sheetView workbookViewId="0">
      <selection activeCell="M5" sqref="M5"/>
    </sheetView>
  </sheetViews>
  <sheetFormatPr defaultRowHeight="14.4" x14ac:dyDescent="0.3"/>
  <cols>
    <col min="2" max="2" width="12.88671875" bestFit="1" customWidth="1"/>
    <col min="6" max="6" width="13.21875" bestFit="1" customWidth="1"/>
  </cols>
  <sheetData>
    <row r="4" spans="1:17" x14ac:dyDescent="0.3">
      <c r="B4" s="1" t="s">
        <v>59</v>
      </c>
      <c r="C4" s="1" t="s">
        <v>62</v>
      </c>
      <c r="D4" s="24" cm="1">
        <f t="array" ref="D4">INDEX($B$9:$J$17,MATCH(B4,$B$10:$B$17,0)+1,MATCH(C4,$C$9:$J$9,0)+1)</f>
        <v>1991</v>
      </c>
      <c r="F4" t="str">
        <f ca="1">_xlfn.FORMULATEXT(D4)</f>
        <v>=INDEX($B$9:$J$17,MATCH(B4,$B$10:$B$17,0)+1,MATCH(C4,$C$9:$J$9,0)+1)</v>
      </c>
      <c r="M4" t="s">
        <v>58</v>
      </c>
    </row>
    <row r="5" spans="1:17" x14ac:dyDescent="0.3">
      <c r="B5" s="1" t="s">
        <v>66</v>
      </c>
      <c r="C5" s="1" t="s">
        <v>64</v>
      </c>
      <c r="D5" s="24">
        <f>INDEX($B$9:$J$17,MATCH(B5,$B$9:$B$17,0),MATCH(C5,$B$9:$J$9,0))</f>
        <v>3389</v>
      </c>
      <c r="F5" t="str">
        <f ca="1">_xlfn.FORMULATEXT(D5)</f>
        <v>=INDEX($B$9:$J$17,MATCH(B5,$B$9:$B$17,0),MATCH(C5,$B$9:$J$9,0))</v>
      </c>
    </row>
    <row r="8" spans="1:17" x14ac:dyDescent="0.3"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</row>
    <row r="9" spans="1:17" x14ac:dyDescent="0.3">
      <c r="B9" s="1"/>
      <c r="C9" s="12" t="s">
        <v>59</v>
      </c>
      <c r="D9" s="12" t="s">
        <v>60</v>
      </c>
      <c r="E9" s="12" t="s">
        <v>61</v>
      </c>
      <c r="F9" s="12" t="s">
        <v>62</v>
      </c>
      <c r="G9" s="12" t="s">
        <v>63</v>
      </c>
      <c r="H9" s="12" t="s">
        <v>64</v>
      </c>
      <c r="I9" s="12" t="s">
        <v>65</v>
      </c>
      <c r="J9" s="12" t="s">
        <v>66</v>
      </c>
    </row>
    <row r="10" spans="1:17" x14ac:dyDescent="0.3">
      <c r="A10">
        <v>1</v>
      </c>
      <c r="B10" s="12" t="s">
        <v>59</v>
      </c>
      <c r="C10" s="1">
        <v>0</v>
      </c>
      <c r="D10" s="1">
        <v>983</v>
      </c>
      <c r="E10" s="1">
        <v>1815</v>
      </c>
      <c r="F10" s="25">
        <v>1991</v>
      </c>
      <c r="G10" s="1">
        <v>3036</v>
      </c>
      <c r="H10" s="1">
        <v>1539</v>
      </c>
      <c r="I10" s="1">
        <v>2664</v>
      </c>
      <c r="J10" s="1">
        <v>2612</v>
      </c>
    </row>
    <row r="11" spans="1:17" x14ac:dyDescent="0.3">
      <c r="A11">
        <v>2</v>
      </c>
      <c r="B11" s="12" t="s">
        <v>60</v>
      </c>
      <c r="C11" s="1">
        <v>983</v>
      </c>
      <c r="D11" s="1">
        <v>0</v>
      </c>
      <c r="E11" s="1">
        <v>1205</v>
      </c>
      <c r="F11" s="1">
        <v>1050</v>
      </c>
      <c r="G11" s="1">
        <v>2112</v>
      </c>
      <c r="H11" s="1">
        <v>1390</v>
      </c>
      <c r="I11" s="1">
        <v>1729</v>
      </c>
      <c r="J11" s="1">
        <v>2052</v>
      </c>
      <c r="N11">
        <f>MATCH(B4,$B$9:$B$17,0)</f>
        <v>2</v>
      </c>
      <c r="O11">
        <f>MATCH(C4,$B$9:$J$9,0)</f>
        <v>5</v>
      </c>
    </row>
    <row r="12" spans="1:17" x14ac:dyDescent="0.3">
      <c r="A12">
        <v>3</v>
      </c>
      <c r="B12" s="12" t="s">
        <v>61</v>
      </c>
      <c r="C12" s="1">
        <v>1815</v>
      </c>
      <c r="D12" s="1">
        <v>1205</v>
      </c>
      <c r="E12" s="1">
        <v>0</v>
      </c>
      <c r="F12" s="1">
        <v>801</v>
      </c>
      <c r="G12" s="1">
        <v>1425</v>
      </c>
      <c r="H12" s="1">
        <v>1332</v>
      </c>
      <c r="I12" s="1">
        <v>1027</v>
      </c>
      <c r="J12" s="1">
        <v>2404</v>
      </c>
    </row>
    <row r="13" spans="1:17" x14ac:dyDescent="0.3">
      <c r="A13">
        <v>4</v>
      </c>
      <c r="B13" s="12" t="s">
        <v>62</v>
      </c>
      <c r="C13" s="1">
        <v>1991</v>
      </c>
      <c r="D13" s="1">
        <v>1050</v>
      </c>
      <c r="E13" s="1">
        <v>801</v>
      </c>
      <c r="F13" s="1">
        <v>0</v>
      </c>
      <c r="G13" s="1">
        <v>1174</v>
      </c>
      <c r="H13" s="1">
        <v>2100</v>
      </c>
      <c r="I13" s="1">
        <v>836</v>
      </c>
      <c r="J13" s="1">
        <v>1373</v>
      </c>
      <c r="O13" cm="1">
        <f t="array" ref="O13">INDEX(distance,N11,O11)</f>
        <v>1991</v>
      </c>
      <c r="Q13" t="str">
        <f ca="1">_xlfn.FORMULATEXT(O13)</f>
        <v>=INDEX(distance,N11,O11)</v>
      </c>
    </row>
    <row r="14" spans="1:17" x14ac:dyDescent="0.3">
      <c r="A14">
        <v>5</v>
      </c>
      <c r="B14" s="12" t="s">
        <v>63</v>
      </c>
      <c r="C14" s="1">
        <v>3036</v>
      </c>
      <c r="D14" s="1">
        <v>2112</v>
      </c>
      <c r="E14" s="1">
        <v>1425</v>
      </c>
      <c r="F14" s="1">
        <v>1174</v>
      </c>
      <c r="G14" s="1">
        <v>0</v>
      </c>
      <c r="H14" s="1">
        <v>2757</v>
      </c>
      <c r="I14" s="1">
        <v>398</v>
      </c>
      <c r="J14" s="1">
        <v>1909</v>
      </c>
    </row>
    <row r="15" spans="1:17" x14ac:dyDescent="0.3">
      <c r="A15">
        <v>6</v>
      </c>
      <c r="B15" s="12" t="s">
        <v>64</v>
      </c>
      <c r="C15" s="1">
        <v>1539</v>
      </c>
      <c r="D15" s="1">
        <v>1390</v>
      </c>
      <c r="E15" s="1">
        <v>1332</v>
      </c>
      <c r="F15" s="1">
        <v>2100</v>
      </c>
      <c r="G15" s="1">
        <v>2757</v>
      </c>
      <c r="H15" s="1">
        <v>0</v>
      </c>
      <c r="I15" s="1">
        <v>2359</v>
      </c>
      <c r="J15" s="1">
        <v>3389</v>
      </c>
    </row>
    <row r="16" spans="1:17" x14ac:dyDescent="0.3">
      <c r="A16">
        <v>7</v>
      </c>
      <c r="B16" s="12" t="s">
        <v>65</v>
      </c>
      <c r="C16" s="1">
        <v>2664</v>
      </c>
      <c r="D16" s="1">
        <v>1729</v>
      </c>
      <c r="E16" s="1">
        <v>1027</v>
      </c>
      <c r="F16" s="1">
        <v>836</v>
      </c>
      <c r="G16" s="1">
        <v>398</v>
      </c>
      <c r="H16" s="1">
        <v>2359</v>
      </c>
      <c r="I16" s="1">
        <v>0</v>
      </c>
      <c r="J16" s="1">
        <v>1482</v>
      </c>
      <c r="O16" cm="1">
        <f t="array" ref="O16">INDEX(distance,N11+1,O11+1)</f>
        <v>2112</v>
      </c>
    </row>
    <row r="17" spans="1:10" x14ac:dyDescent="0.3">
      <c r="A17">
        <v>8</v>
      </c>
      <c r="B17" s="12" t="s">
        <v>66</v>
      </c>
      <c r="C17" s="1">
        <v>2612</v>
      </c>
      <c r="D17" s="1">
        <v>2052</v>
      </c>
      <c r="E17" s="1">
        <v>2404</v>
      </c>
      <c r="F17" s="1">
        <v>1373</v>
      </c>
      <c r="G17" s="1">
        <v>1909</v>
      </c>
      <c r="H17" s="1">
        <v>3389</v>
      </c>
      <c r="I17" s="1">
        <v>1482</v>
      </c>
      <c r="J17" s="1">
        <v>0</v>
      </c>
    </row>
    <row r="19" spans="1:10" x14ac:dyDescent="0.3">
      <c r="C19" s="23" t="s">
        <v>67</v>
      </c>
    </row>
    <row r="20" spans="1:10" x14ac:dyDescent="0.3">
      <c r="C20" s="1" t="s">
        <v>68</v>
      </c>
      <c r="D20" s="1" t="s">
        <v>69</v>
      </c>
    </row>
    <row r="21" spans="1:10" x14ac:dyDescent="0.3">
      <c r="C21" s="1">
        <v>8</v>
      </c>
      <c r="D21" s="1">
        <f t="shared" ref="D21:D27" si="0">SUM(INDEX(distance,0,C21+1))</f>
        <v>15221</v>
      </c>
      <c r="F21" t="str">
        <f ca="1">_xlfn.FORMULATEXT(D21)</f>
        <v>=SUM(INDEX(distance,0,C21+1))</v>
      </c>
    </row>
    <row r="22" spans="1:10" x14ac:dyDescent="0.3">
      <c r="C22" s="1">
        <v>7</v>
      </c>
      <c r="D22" s="1">
        <f t="shared" si="0"/>
        <v>10495</v>
      </c>
      <c r="F22" t="str">
        <f t="shared" ref="F22:F27" ca="1" si="1">_xlfn.FORMULATEXT(D22)</f>
        <v>=SUM(INDEX(distance,0,C22+1))</v>
      </c>
    </row>
    <row r="23" spans="1:10" x14ac:dyDescent="0.3">
      <c r="C23" s="1">
        <v>5</v>
      </c>
      <c r="D23" s="1">
        <f t="shared" si="0"/>
        <v>12811</v>
      </c>
      <c r="F23" t="str">
        <f t="shared" ca="1" si="1"/>
        <v>=SUM(INDEX(distance,0,C23+1))</v>
      </c>
    </row>
    <row r="24" spans="1:10" x14ac:dyDescent="0.3">
      <c r="C24" s="1">
        <v>4</v>
      </c>
      <c r="D24" s="1">
        <f t="shared" si="0"/>
        <v>9325</v>
      </c>
      <c r="F24" t="str">
        <f t="shared" ca="1" si="1"/>
        <v>=SUM(INDEX(distance,0,C24+1))</v>
      </c>
    </row>
    <row r="25" spans="1:10" x14ac:dyDescent="0.3">
      <c r="C25" s="1">
        <v>3</v>
      </c>
      <c r="D25" s="1">
        <f t="shared" si="0"/>
        <v>10009</v>
      </c>
      <c r="F25" t="str">
        <f t="shared" ca="1" si="1"/>
        <v>=SUM(INDEX(distance,0,C25+1))</v>
      </c>
    </row>
    <row r="26" spans="1:10" x14ac:dyDescent="0.3">
      <c r="C26" s="1">
        <v>2</v>
      </c>
      <c r="D26" s="1">
        <f t="shared" si="0"/>
        <v>10521</v>
      </c>
      <c r="F26" t="str">
        <f t="shared" ca="1" si="1"/>
        <v>=SUM(INDEX(distance,0,C26+1))</v>
      </c>
    </row>
    <row r="27" spans="1:10" x14ac:dyDescent="0.3">
      <c r="C27" s="1">
        <v>8</v>
      </c>
      <c r="D27" s="1">
        <f t="shared" si="0"/>
        <v>15221</v>
      </c>
      <c r="F27" t="str">
        <f t="shared" ca="1" si="1"/>
        <v>=SUM(INDEX(distance,0,C27+1))</v>
      </c>
    </row>
    <row r="28" spans="1:10" x14ac:dyDescent="0.3">
      <c r="C28" s="1" t="s">
        <v>70</v>
      </c>
      <c r="D28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21EDD-DACE-4406-9C10-7B4CDF3A712B}">
  <dimension ref="A1:H26"/>
  <sheetViews>
    <sheetView topLeftCell="C2" workbookViewId="0">
      <selection activeCell="G28" sqref="G28"/>
    </sheetView>
  </sheetViews>
  <sheetFormatPr defaultRowHeight="14.4" x14ac:dyDescent="0.3"/>
  <cols>
    <col min="3" max="3" width="19.21875" customWidth="1"/>
    <col min="4" max="4" width="25.5546875" bestFit="1" customWidth="1"/>
    <col min="5" max="5" width="25.88671875" bestFit="1" customWidth="1"/>
    <col min="6" max="6" width="26.88671875" bestFit="1" customWidth="1"/>
    <col min="7" max="7" width="23.109375" bestFit="1" customWidth="1"/>
  </cols>
  <sheetData>
    <row r="1" spans="1:8" x14ac:dyDescent="0.3">
      <c r="B1" s="1" t="s">
        <v>59</v>
      </c>
      <c r="C1" s="1"/>
      <c r="D1" s="1"/>
      <c r="E1" s="1">
        <v>-5</v>
      </c>
      <c r="F1" s="1"/>
      <c r="G1" s="1">
        <v>6</v>
      </c>
    </row>
    <row r="2" spans="1:8" x14ac:dyDescent="0.3">
      <c r="B2" s="1" t="s">
        <v>60</v>
      </c>
      <c r="C2" s="1"/>
      <c r="D2" s="1"/>
      <c r="E2" s="1">
        <v>-4</v>
      </c>
      <c r="F2" s="1"/>
      <c r="G2" s="1">
        <v>5</v>
      </c>
    </row>
    <row r="3" spans="1:8" x14ac:dyDescent="0.3">
      <c r="B3" s="1" t="s">
        <v>61</v>
      </c>
      <c r="C3" s="1"/>
      <c r="D3" s="1"/>
      <c r="E3" s="1">
        <v>-3</v>
      </c>
      <c r="F3" s="1"/>
      <c r="G3" s="1">
        <v>4</v>
      </c>
    </row>
    <row r="4" spans="1:8" x14ac:dyDescent="0.3">
      <c r="B4" s="1" t="s">
        <v>62</v>
      </c>
      <c r="C4" s="1"/>
      <c r="D4" s="1"/>
      <c r="E4" s="1">
        <v>-1</v>
      </c>
      <c r="F4" s="1"/>
      <c r="G4" s="1">
        <v>3</v>
      </c>
    </row>
    <row r="5" spans="1:8" x14ac:dyDescent="0.3">
      <c r="B5" s="1" t="s">
        <v>63</v>
      </c>
      <c r="C5" s="1"/>
      <c r="D5" s="1"/>
      <c r="E5" s="1">
        <v>3</v>
      </c>
      <c r="F5" s="1"/>
      <c r="G5" s="1">
        <v>-1</v>
      </c>
    </row>
    <row r="6" spans="1:8" x14ac:dyDescent="0.3">
      <c r="B6" s="1" t="s">
        <v>64</v>
      </c>
      <c r="C6" s="1"/>
      <c r="D6" s="1"/>
      <c r="E6" s="1">
        <v>4</v>
      </c>
      <c r="F6" s="1"/>
      <c r="G6" s="1">
        <v>-3</v>
      </c>
    </row>
    <row r="7" spans="1:8" x14ac:dyDescent="0.3">
      <c r="B7" s="1" t="s">
        <v>65</v>
      </c>
      <c r="C7" s="1"/>
      <c r="D7" s="1"/>
      <c r="E7" s="1">
        <v>5</v>
      </c>
      <c r="F7" s="1"/>
      <c r="G7" s="1">
        <v>-4</v>
      </c>
    </row>
    <row r="8" spans="1:8" x14ac:dyDescent="0.3">
      <c r="B8" s="1" t="s">
        <v>66</v>
      </c>
      <c r="C8" s="1"/>
      <c r="D8" s="1"/>
      <c r="E8" s="1">
        <v>6</v>
      </c>
      <c r="F8" s="1"/>
      <c r="G8" s="1">
        <v>-5</v>
      </c>
    </row>
    <row r="9" spans="1:8" x14ac:dyDescent="0.3">
      <c r="D9" s="24" t="s">
        <v>71</v>
      </c>
      <c r="E9" s="24">
        <f>MATCH(0,$E$1:$E$7,1)</f>
        <v>4</v>
      </c>
      <c r="F9" s="26" t="s">
        <v>72</v>
      </c>
      <c r="G9" s="26">
        <f>MATCH(-4,$G$1:$G$8,-1)</f>
        <v>7</v>
      </c>
    </row>
    <row r="10" spans="1:8" x14ac:dyDescent="0.3">
      <c r="A10" s="24" t="s">
        <v>59</v>
      </c>
      <c r="B10" s="24">
        <f>MATCH(A10,$B$1:$B$8,0)</f>
        <v>1</v>
      </c>
      <c r="D10" t="str">
        <f ca="1">_xlfn.FORMULATEXT(B10)</f>
        <v>=MATCH(A10,$B$1:$B$8,0)</v>
      </c>
      <c r="E10" t="str">
        <f ca="1">_xlfn.FORMULATEXT(E9)</f>
        <v>=MATCH(0,$E$1:$E$7,1)</v>
      </c>
      <c r="G10" t="str">
        <f ca="1">_xlfn.FORMULATEXT(G9)</f>
        <v>=MATCH(-4,$G$1:$G$8,-1)</v>
      </c>
    </row>
    <row r="11" spans="1:8" x14ac:dyDescent="0.3">
      <c r="A11" s="24" t="s">
        <v>65</v>
      </c>
      <c r="B11" s="24">
        <f t="shared" ref="B11:B12" si="0">MATCH(A11,$B$1:$B$8,0)</f>
        <v>7</v>
      </c>
      <c r="D11" t="str">
        <f t="shared" ref="D11:D12" ca="1" si="1">_xlfn.FORMULATEXT(B11)</f>
        <v>=MATCH(A11,$B$1:$B$8,0)</v>
      </c>
    </row>
    <row r="12" spans="1:8" x14ac:dyDescent="0.3">
      <c r="A12" s="24" t="s">
        <v>73</v>
      </c>
      <c r="B12" s="24">
        <f t="shared" si="0"/>
        <v>7</v>
      </c>
      <c r="D12" t="str">
        <f t="shared" ca="1" si="1"/>
        <v>=MATCH(A12,$B$1:$B$8,0)</v>
      </c>
    </row>
    <row r="14" spans="1:8" x14ac:dyDescent="0.3">
      <c r="B14" s="21"/>
      <c r="C14" s="27" t="s">
        <v>74</v>
      </c>
      <c r="D14" s="27" t="s">
        <v>75</v>
      </c>
      <c r="E14" s="27" t="s">
        <v>76</v>
      </c>
      <c r="F14" s="27" t="s">
        <v>77</v>
      </c>
      <c r="G14" s="27" t="s">
        <v>78</v>
      </c>
      <c r="H14" s="27" t="s">
        <v>79</v>
      </c>
    </row>
    <row r="15" spans="1:8" x14ac:dyDescent="0.3">
      <c r="B15" s="27" t="s">
        <v>80</v>
      </c>
      <c r="C15" s="29">
        <v>831</v>
      </c>
      <c r="D15" s="29">
        <v>685</v>
      </c>
      <c r="E15" s="29">
        <v>550</v>
      </c>
      <c r="F15" s="29">
        <v>965</v>
      </c>
      <c r="G15" s="29">
        <v>842</v>
      </c>
      <c r="H15" s="29">
        <v>804</v>
      </c>
    </row>
    <row r="16" spans="1:8" x14ac:dyDescent="0.3">
      <c r="B16" s="27" t="s">
        <v>81</v>
      </c>
      <c r="C16" s="29">
        <v>719</v>
      </c>
      <c r="D16" s="29">
        <v>504</v>
      </c>
      <c r="E16" s="29">
        <v>965</v>
      </c>
      <c r="F16" s="29">
        <v>816</v>
      </c>
      <c r="G16" s="29">
        <v>639</v>
      </c>
      <c r="H16" s="29">
        <v>814</v>
      </c>
    </row>
    <row r="17" spans="2:8" x14ac:dyDescent="0.3">
      <c r="B17" s="27" t="s">
        <v>82</v>
      </c>
      <c r="C17" s="29">
        <v>916</v>
      </c>
      <c r="D17" s="29">
        <v>906</v>
      </c>
      <c r="E17" s="29">
        <v>851</v>
      </c>
      <c r="F17" s="29">
        <v>912</v>
      </c>
      <c r="G17" s="29">
        <v>964</v>
      </c>
      <c r="H17" s="29">
        <v>710</v>
      </c>
    </row>
    <row r="18" spans="2:8" x14ac:dyDescent="0.3">
      <c r="B18" s="27" t="s">
        <v>83</v>
      </c>
      <c r="C18" s="29">
        <v>844</v>
      </c>
      <c r="D18" s="29">
        <v>509</v>
      </c>
      <c r="E18" s="29">
        <v>991</v>
      </c>
      <c r="F18" s="29">
        <v>851</v>
      </c>
      <c r="G18" s="29">
        <v>742</v>
      </c>
      <c r="H18" s="29">
        <v>817</v>
      </c>
    </row>
    <row r="19" spans="2:8" x14ac:dyDescent="0.3">
      <c r="B19" s="1"/>
      <c r="C19" s="1"/>
      <c r="D19" s="1"/>
      <c r="E19" s="1"/>
      <c r="F19" s="1"/>
      <c r="G19" s="1"/>
      <c r="H19" s="1"/>
    </row>
    <row r="20" spans="2:8" ht="40.200000000000003" x14ac:dyDescent="0.3">
      <c r="B20" s="27" t="s">
        <v>84</v>
      </c>
      <c r="C20" s="27" t="s">
        <v>85</v>
      </c>
      <c r="D20" s="28" t="s">
        <v>86</v>
      </c>
      <c r="E20" s="28" t="s">
        <v>87</v>
      </c>
      <c r="F20" s="28" t="s">
        <v>88</v>
      </c>
      <c r="G20" s="28"/>
      <c r="H20" s="21"/>
    </row>
    <row r="21" spans="2:8" x14ac:dyDescent="0.3">
      <c r="B21" s="27" t="s">
        <v>81</v>
      </c>
      <c r="C21" s="27" t="s">
        <v>79</v>
      </c>
      <c r="D21" s="10">
        <f>MATCH(B21,$B$14:$B$18,0)</f>
        <v>3</v>
      </c>
      <c r="E21" s="10">
        <f>MATCH(C21,$B$14:$H$14,0)</f>
        <v>7</v>
      </c>
      <c r="F21" s="10" cm="1">
        <f t="array" ref="F21">INDEX($B$14:$H$18,D21,E21)</f>
        <v>814</v>
      </c>
      <c r="G21" s="1"/>
      <c r="H21" s="1"/>
    </row>
    <row r="22" spans="2:8" x14ac:dyDescent="0.3">
      <c r="D22" t="str">
        <f ca="1">_xlfn.FORMULATEXT(D21)</f>
        <v>=MATCH(B21,$B$14:$B$18,0)</v>
      </c>
      <c r="E22" t="str">
        <f ca="1">_xlfn.FORMULATEXT(E21)</f>
        <v>=MATCH(C21,$B$14:$H$14,0)</v>
      </c>
      <c r="F22" t="str">
        <f ca="1">_xlfn.FORMULATEXT(F21)</f>
        <v>=INDEX($B$14:$H$18,D21,E21)</v>
      </c>
    </row>
    <row r="24" spans="2:8" x14ac:dyDescent="0.3">
      <c r="B24" s="27" t="s">
        <v>84</v>
      </c>
      <c r="C24" s="27" t="s">
        <v>85</v>
      </c>
      <c r="D24" s="28" t="s">
        <v>86</v>
      </c>
      <c r="E24" s="28" t="s">
        <v>87</v>
      </c>
      <c r="F24" s="28" t="s">
        <v>88</v>
      </c>
      <c r="G24" s="28"/>
      <c r="H24" s="21"/>
    </row>
    <row r="25" spans="2:8" x14ac:dyDescent="0.3">
      <c r="B25" s="27" t="s">
        <v>81</v>
      </c>
      <c r="C25" s="27" t="s">
        <v>79</v>
      </c>
      <c r="D25" s="10">
        <f>MATCH(B25,$B$14:$B$18,0)</f>
        <v>3</v>
      </c>
      <c r="E25" s="10">
        <f>MATCH(C25,$B$14:$H$14,0)</f>
        <v>7</v>
      </c>
      <c r="F25" s="10" cm="1">
        <f t="array" ref="F25">INDEX(sales,D25,E25)</f>
        <v>814</v>
      </c>
      <c r="G25" s="1"/>
      <c r="H25" s="1"/>
    </row>
    <row r="26" spans="2:8" x14ac:dyDescent="0.3">
      <c r="D26" t="str">
        <f ca="1">_xlfn.FORMULATEXT(D25)</f>
        <v>=MATCH(B25,$B$14:$B$18,0)</v>
      </c>
      <c r="E26" t="str">
        <f ca="1">_xlfn.FORMULATEXT(E25)</f>
        <v>=MATCH(C25,$B$14:$H$14,0)</v>
      </c>
      <c r="F26" t="str">
        <f ca="1">_xlfn.FORMULATEXT(F25)</f>
        <v>=INDEX(sales,D25,E25)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292A0-9550-4FFF-B71D-69E40D915401}">
  <dimension ref="A1:M407"/>
  <sheetViews>
    <sheetView tabSelected="1" topLeftCell="C1" workbookViewId="0">
      <selection activeCell="H12" sqref="H12"/>
    </sheetView>
  </sheetViews>
  <sheetFormatPr defaultRowHeight="14.4" x14ac:dyDescent="0.3"/>
  <cols>
    <col min="1" max="1" width="7.5546875" customWidth="1"/>
    <col min="2" max="2" width="23.33203125" customWidth="1"/>
    <col min="3" max="3" width="13.77734375" bestFit="1" customWidth="1"/>
    <col min="4" max="4" width="12.6640625" customWidth="1"/>
    <col min="6" max="6" width="24.5546875" bestFit="1" customWidth="1"/>
    <col min="7" max="7" width="14.6640625" bestFit="1" customWidth="1"/>
    <col min="8" max="8" width="24.77734375" bestFit="1" customWidth="1"/>
    <col min="9" max="9" width="18.6640625" bestFit="1" customWidth="1"/>
    <col min="10" max="10" width="14.109375" bestFit="1" customWidth="1"/>
    <col min="11" max="11" width="23.77734375" bestFit="1" customWidth="1"/>
    <col min="13" max="13" width="12" customWidth="1"/>
  </cols>
  <sheetData>
    <row r="1" spans="1:13" x14ac:dyDescent="0.3">
      <c r="A1" s="30"/>
      <c r="B1" s="21" t="s">
        <v>89</v>
      </c>
      <c r="C1" s="21" t="s">
        <v>439</v>
      </c>
      <c r="D1" s="30"/>
    </row>
    <row r="2" spans="1:13" x14ac:dyDescent="0.3">
      <c r="A2" s="30"/>
      <c r="B2" s="30"/>
      <c r="C2" s="21" t="s">
        <v>90</v>
      </c>
      <c r="D2" s="21" t="s">
        <v>91</v>
      </c>
    </row>
    <row r="3" spans="1:13" x14ac:dyDescent="0.3">
      <c r="A3" s="30"/>
      <c r="B3" s="21" t="s">
        <v>92</v>
      </c>
      <c r="C3" s="31">
        <f>MATCH(C1,$B$7:$B$407,0)</f>
        <v>345</v>
      </c>
      <c r="D3" s="32">
        <f>MATCH(D4,$C$7:$C$407,0)</f>
        <v>232</v>
      </c>
      <c r="F3" s="3" t="str">
        <f ca="1">_xlfn.FORMULATEXT(C3)</f>
        <v>=MATCH(C1,$B$7:$B$407,0)</v>
      </c>
      <c r="H3" s="11" t="str">
        <f ca="1">_xlfn.FORMULATEXT(D3)</f>
        <v>=MATCH(D4,$C$7:$C$407,0)</v>
      </c>
    </row>
    <row r="4" spans="1:13" x14ac:dyDescent="0.3">
      <c r="A4" s="30"/>
      <c r="B4" s="21" t="s">
        <v>93</v>
      </c>
      <c r="C4" s="31" cm="1">
        <f t="array" ref="C4">INDEX($C$7:$C$407,C3,0)</f>
        <v>22000000</v>
      </c>
      <c r="D4" s="32">
        <f>LARGE($C$7:$C$407,5)</f>
        <v>12600000</v>
      </c>
      <c r="F4" s="3" t="str">
        <f ca="1">_xlfn.FORMULATEXT(C4)</f>
        <v>=INDEX($C$7:$C$407,C3,0)</v>
      </c>
      <c r="H4" s="11" t="str">
        <f ca="1">_xlfn.FORMULATEXT(D4)</f>
        <v>=LARGE($C$7:$C$407,5)</v>
      </c>
    </row>
    <row r="6" spans="1:13" x14ac:dyDescent="0.3">
      <c r="A6" s="21" t="s">
        <v>496</v>
      </c>
      <c r="B6" s="21" t="s">
        <v>89</v>
      </c>
      <c r="C6" s="21" t="s">
        <v>94</v>
      </c>
      <c r="D6" s="30"/>
      <c r="G6" s="37" t="s">
        <v>497</v>
      </c>
      <c r="H6" s="37">
        <v>14</v>
      </c>
      <c r="I6" s="37"/>
      <c r="J6" s="37"/>
      <c r="K6" s="21" t="s">
        <v>498</v>
      </c>
    </row>
    <row r="7" spans="1:13" x14ac:dyDescent="0.3">
      <c r="A7" s="21">
        <v>1</v>
      </c>
      <c r="B7" s="21" t="s">
        <v>95</v>
      </c>
      <c r="C7" s="21">
        <v>13166667</v>
      </c>
      <c r="D7" s="30"/>
      <c r="G7" s="37" t="s">
        <v>499</v>
      </c>
      <c r="H7" s="37">
        <v>0.1</v>
      </c>
      <c r="I7" s="37"/>
      <c r="J7" s="37"/>
      <c r="K7" s="21">
        <v>6</v>
      </c>
    </row>
    <row r="8" spans="1:13" x14ac:dyDescent="0.3">
      <c r="A8" s="21">
        <v>2</v>
      </c>
      <c r="B8" s="21" t="s">
        <v>96</v>
      </c>
      <c r="C8" s="21">
        <v>5683013</v>
      </c>
      <c r="D8" s="30"/>
    </row>
    <row r="9" spans="1:13" x14ac:dyDescent="0.3">
      <c r="A9" s="21">
        <v>3</v>
      </c>
      <c r="B9" s="21" t="s">
        <v>97</v>
      </c>
      <c r="C9" s="21">
        <v>4500000</v>
      </c>
      <c r="D9" s="30"/>
      <c r="G9" s="21" t="s">
        <v>9</v>
      </c>
      <c r="H9" s="21" t="s">
        <v>500</v>
      </c>
      <c r="I9" s="21" t="s">
        <v>501</v>
      </c>
      <c r="J9" s="37"/>
      <c r="K9" s="37"/>
    </row>
    <row r="10" spans="1:13" x14ac:dyDescent="0.3">
      <c r="A10" s="21">
        <v>4</v>
      </c>
      <c r="B10" s="21" t="s">
        <v>98</v>
      </c>
      <c r="C10" s="21">
        <v>3450000</v>
      </c>
      <c r="D10" s="30"/>
      <c r="G10" s="36">
        <v>0</v>
      </c>
      <c r="H10" s="33">
        <v>-100</v>
      </c>
      <c r="I10" s="35">
        <f>H10</f>
        <v>-100</v>
      </c>
      <c r="J10" s="37"/>
      <c r="K10" s="32" t="e">
        <f ca="1">_xlfn.FORMULATEXT(H10)</f>
        <v>#N/A</v>
      </c>
      <c r="M10" s="34" t="str">
        <f ca="1">_xlfn.FORMULATEXT(I10)</f>
        <v>=H10</v>
      </c>
    </row>
    <row r="11" spans="1:13" x14ac:dyDescent="0.3">
      <c r="A11" s="21">
        <v>5</v>
      </c>
      <c r="B11" s="21" t="s">
        <v>99</v>
      </c>
      <c r="C11" s="21">
        <v>3400000</v>
      </c>
      <c r="D11" s="30"/>
      <c r="G11" s="36">
        <v>1</v>
      </c>
      <c r="H11" s="33">
        <f>Year_1_cash_flow</f>
        <v>14</v>
      </c>
      <c r="I11" s="35">
        <f>I10+H11</f>
        <v>-86</v>
      </c>
      <c r="J11" s="37"/>
      <c r="K11" s="32" t="str">
        <f t="shared" ref="K11:K25" ca="1" si="0">_xlfn.FORMULATEXT(H11)</f>
        <v>=Year_1_cash_flow</v>
      </c>
      <c r="M11" s="34" t="str">
        <f t="shared" ref="M11:M25" ca="1" si="1">_xlfn.FORMULATEXT(I11)</f>
        <v>=I10+H11</v>
      </c>
    </row>
    <row r="12" spans="1:13" x14ac:dyDescent="0.3">
      <c r="A12" s="21">
        <v>6</v>
      </c>
      <c r="B12" s="21" t="s">
        <v>100</v>
      </c>
      <c r="C12" s="21">
        <v>2500000</v>
      </c>
      <c r="G12" s="36">
        <v>2</v>
      </c>
      <c r="H12" s="33">
        <f>H11*(1+'Ch05-02'!Growth)</f>
        <v>15.400000000000002</v>
      </c>
      <c r="I12" s="35">
        <f t="shared" ref="I12:I25" si="2">I11+H12</f>
        <v>-70.599999999999994</v>
      </c>
      <c r="J12" s="37"/>
      <c r="K12" s="32" t="str">
        <f t="shared" ca="1" si="0"/>
        <v>=H11*(1+'Ch05-02'!Growth)</v>
      </c>
      <c r="M12" s="34" t="str">
        <f t="shared" ca="1" si="1"/>
        <v>=I11+H12</v>
      </c>
    </row>
    <row r="13" spans="1:13" x14ac:dyDescent="0.3">
      <c r="A13" s="21">
        <v>7</v>
      </c>
      <c r="B13" s="21" t="s">
        <v>101</v>
      </c>
      <c r="C13" s="21">
        <v>2000000</v>
      </c>
      <c r="G13" s="36">
        <v>3</v>
      </c>
      <c r="H13" s="33">
        <f>H12*(1+'Ch05-02'!Growth)</f>
        <v>16.940000000000005</v>
      </c>
      <c r="I13" s="35">
        <f t="shared" si="2"/>
        <v>-53.659999999999989</v>
      </c>
      <c r="J13" s="37"/>
      <c r="K13" s="32" t="str">
        <f t="shared" ca="1" si="0"/>
        <v>=H12*(1+'Ch05-02'!Growth)</v>
      </c>
      <c r="M13" s="34" t="str">
        <f t="shared" ca="1" si="1"/>
        <v>=I12+H13</v>
      </c>
    </row>
    <row r="14" spans="1:13" x14ac:dyDescent="0.3">
      <c r="A14" s="21">
        <v>8</v>
      </c>
      <c r="B14" s="21" t="s">
        <v>102</v>
      </c>
      <c r="C14" s="21">
        <v>1500000</v>
      </c>
      <c r="G14" s="36">
        <v>4</v>
      </c>
      <c r="H14" s="33">
        <f>H13*(1+'Ch05-02'!Growth)</f>
        <v>18.634000000000007</v>
      </c>
      <c r="I14" s="35">
        <f t="shared" si="2"/>
        <v>-35.025999999999982</v>
      </c>
      <c r="J14" s="37"/>
      <c r="K14" s="32" t="str">
        <f t="shared" ca="1" si="0"/>
        <v>=H13*(1+'Ch05-02'!Growth)</v>
      </c>
      <c r="M14" s="34" t="str">
        <f t="shared" ca="1" si="1"/>
        <v>=I13+H14</v>
      </c>
    </row>
    <row r="15" spans="1:13" x14ac:dyDescent="0.3">
      <c r="A15" s="21">
        <v>9</v>
      </c>
      <c r="B15" s="21" t="s">
        <v>103</v>
      </c>
      <c r="C15" s="21">
        <v>1250000</v>
      </c>
      <c r="G15" s="36">
        <v>5</v>
      </c>
      <c r="H15" s="33">
        <f>H14*(1+'Ch05-02'!Growth)</f>
        <v>20.49740000000001</v>
      </c>
      <c r="I15" s="35">
        <f t="shared" si="2"/>
        <v>-14.528599999999972</v>
      </c>
      <c r="J15" s="37"/>
      <c r="K15" s="32" t="str">
        <f t="shared" ca="1" si="0"/>
        <v>=H14*(1+'Ch05-02'!Growth)</v>
      </c>
      <c r="M15" s="34" t="str">
        <f t="shared" ca="1" si="1"/>
        <v>=I14+H15</v>
      </c>
    </row>
    <row r="16" spans="1:13" x14ac:dyDescent="0.3">
      <c r="A16" s="21">
        <v>10</v>
      </c>
      <c r="B16" s="21" t="s">
        <v>104</v>
      </c>
      <c r="C16" s="21">
        <v>1150000</v>
      </c>
      <c r="G16" s="36">
        <v>6</v>
      </c>
      <c r="H16" s="33">
        <f>H15*(1+'Ch05-02'!Growth)</f>
        <v>22.547140000000013</v>
      </c>
      <c r="I16" s="35">
        <f t="shared" si="2"/>
        <v>8.0185400000000406</v>
      </c>
      <c r="J16" s="37"/>
      <c r="K16" s="32" t="str">
        <f t="shared" ca="1" si="0"/>
        <v>=H15*(1+'Ch05-02'!Growth)</v>
      </c>
      <c r="M16" s="34" t="str">
        <f t="shared" ca="1" si="1"/>
        <v>=I15+H16</v>
      </c>
    </row>
    <row r="17" spans="1:13" x14ac:dyDescent="0.3">
      <c r="A17" s="21">
        <v>11</v>
      </c>
      <c r="B17" s="21" t="s">
        <v>105</v>
      </c>
      <c r="C17" s="21">
        <v>1125000</v>
      </c>
      <c r="G17" s="36">
        <v>7</v>
      </c>
      <c r="H17" s="33">
        <f>H16*(1+'Ch05-02'!Growth)</f>
        <v>24.801854000000016</v>
      </c>
      <c r="I17" s="35">
        <f t="shared" si="2"/>
        <v>32.820394000000057</v>
      </c>
      <c r="J17" s="37"/>
      <c r="K17" s="32" t="str">
        <f t="shared" ca="1" si="0"/>
        <v>=H16*(1+'Ch05-02'!Growth)</v>
      </c>
      <c r="M17" s="34" t="str">
        <f t="shared" ca="1" si="1"/>
        <v>=I16+H17</v>
      </c>
    </row>
    <row r="18" spans="1:13" x14ac:dyDescent="0.3">
      <c r="A18" s="21">
        <v>12</v>
      </c>
      <c r="B18" s="21" t="s">
        <v>106</v>
      </c>
      <c r="C18" s="21">
        <v>900000</v>
      </c>
      <c r="G18" s="36">
        <v>8</v>
      </c>
      <c r="H18" s="33">
        <f>H17*(1+'Ch05-02'!Growth)</f>
        <v>27.28203940000002</v>
      </c>
      <c r="I18" s="35">
        <f t="shared" si="2"/>
        <v>60.102433400000081</v>
      </c>
      <c r="J18" s="37"/>
      <c r="K18" s="32" t="str">
        <f t="shared" ca="1" si="0"/>
        <v>=H17*(1+'Ch05-02'!Growth)</v>
      </c>
      <c r="M18" s="34" t="str">
        <f t="shared" ca="1" si="1"/>
        <v>=I17+H18</v>
      </c>
    </row>
    <row r="19" spans="1:13" x14ac:dyDescent="0.3">
      <c r="A19" s="21">
        <v>13</v>
      </c>
      <c r="B19" s="21" t="s">
        <v>107</v>
      </c>
      <c r="C19" s="21">
        <v>715000</v>
      </c>
      <c r="G19" s="36">
        <v>9</v>
      </c>
      <c r="H19" s="33">
        <f>H18*(1+'Ch05-02'!Growth)</f>
        <v>30.010243340000024</v>
      </c>
      <c r="I19" s="35">
        <f t="shared" si="2"/>
        <v>90.112676740000097</v>
      </c>
      <c r="J19" s="37"/>
      <c r="K19" s="32" t="str">
        <f t="shared" ca="1" si="0"/>
        <v>=H18*(1+'Ch05-02'!Growth)</v>
      </c>
      <c r="M19" s="34" t="str">
        <f t="shared" ca="1" si="1"/>
        <v>=I18+H19</v>
      </c>
    </row>
    <row r="20" spans="1:13" x14ac:dyDescent="0.3">
      <c r="A20" s="21">
        <v>14</v>
      </c>
      <c r="B20" s="21" t="s">
        <v>108</v>
      </c>
      <c r="C20" s="21">
        <v>705000</v>
      </c>
      <c r="G20" s="36">
        <v>10</v>
      </c>
      <c r="H20" s="33">
        <f>H19*(1+'Ch05-02'!Growth)</f>
        <v>33.011267674000031</v>
      </c>
      <c r="I20" s="35">
        <f t="shared" si="2"/>
        <v>123.12394441400014</v>
      </c>
      <c r="J20" s="37"/>
      <c r="K20" s="32" t="str">
        <f t="shared" ca="1" si="0"/>
        <v>=H19*(1+'Ch05-02'!Growth)</v>
      </c>
      <c r="M20" s="34" t="str">
        <f t="shared" ca="1" si="1"/>
        <v>=I19+H20</v>
      </c>
    </row>
    <row r="21" spans="1:13" x14ac:dyDescent="0.3">
      <c r="A21" s="21">
        <v>15</v>
      </c>
      <c r="B21" s="21" t="s">
        <v>109</v>
      </c>
      <c r="C21" s="21">
        <v>500000</v>
      </c>
      <c r="G21" s="36">
        <v>11</v>
      </c>
      <c r="H21" s="33">
        <f>H20*(1+'Ch05-02'!Growth)</f>
        <v>36.312394441400038</v>
      </c>
      <c r="I21" s="35">
        <f t="shared" si="2"/>
        <v>159.43633885540018</v>
      </c>
      <c r="J21" s="37"/>
      <c r="K21" s="32" t="str">
        <f t="shared" ca="1" si="0"/>
        <v>=H20*(1+'Ch05-02'!Growth)</v>
      </c>
      <c r="M21" s="34" t="str">
        <f t="shared" ca="1" si="1"/>
        <v>=I20+H21</v>
      </c>
    </row>
    <row r="22" spans="1:13" x14ac:dyDescent="0.3">
      <c r="A22" s="21">
        <v>16</v>
      </c>
      <c r="B22" s="21" t="s">
        <v>110</v>
      </c>
      <c r="C22" s="21">
        <v>350000</v>
      </c>
      <c r="G22" s="36">
        <v>12</v>
      </c>
      <c r="H22" s="33">
        <f>H21*(1+'Ch05-02'!Growth)</f>
        <v>39.943633885540045</v>
      </c>
      <c r="I22" s="35">
        <f t="shared" si="2"/>
        <v>199.37997274094022</v>
      </c>
      <c r="K22" s="32" t="str">
        <f t="shared" ca="1" si="0"/>
        <v>=H21*(1+'Ch05-02'!Growth)</v>
      </c>
      <c r="M22" s="34" t="str">
        <f t="shared" ca="1" si="1"/>
        <v>=I21+H22</v>
      </c>
    </row>
    <row r="23" spans="1:13" x14ac:dyDescent="0.3">
      <c r="A23" s="21">
        <v>17</v>
      </c>
      <c r="B23" s="21" t="s">
        <v>111</v>
      </c>
      <c r="C23" s="21">
        <v>350000</v>
      </c>
      <c r="G23" s="36">
        <v>13</v>
      </c>
      <c r="H23" s="33">
        <f>H22*(1+'Ch05-02'!Growth)</f>
        <v>43.937997274094052</v>
      </c>
      <c r="I23" s="35">
        <f t="shared" si="2"/>
        <v>243.31797001503426</v>
      </c>
      <c r="K23" s="32" t="str">
        <f t="shared" ca="1" si="0"/>
        <v>=H22*(1+'Ch05-02'!Growth)</v>
      </c>
      <c r="M23" s="34" t="str">
        <f t="shared" ca="1" si="1"/>
        <v>=I22+H23</v>
      </c>
    </row>
    <row r="24" spans="1:13" x14ac:dyDescent="0.3">
      <c r="A24" s="21">
        <v>18</v>
      </c>
      <c r="B24" s="21" t="s">
        <v>112</v>
      </c>
      <c r="C24" s="21">
        <v>320000</v>
      </c>
      <c r="G24" s="36">
        <v>14</v>
      </c>
      <c r="H24" s="33">
        <f>H23*(1+'Ch05-02'!Growth)</f>
        <v>48.33179700150346</v>
      </c>
      <c r="I24" s="35">
        <f t="shared" si="2"/>
        <v>291.64976701653774</v>
      </c>
      <c r="K24" s="32" t="str">
        <f t="shared" ca="1" si="0"/>
        <v>=H23*(1+'Ch05-02'!Growth)</v>
      </c>
      <c r="M24" s="34" t="str">
        <f t="shared" ca="1" si="1"/>
        <v>=I23+H24</v>
      </c>
    </row>
    <row r="25" spans="1:13" x14ac:dyDescent="0.3">
      <c r="A25" s="21">
        <v>19</v>
      </c>
      <c r="B25" s="21" t="s">
        <v>113</v>
      </c>
      <c r="C25" s="21">
        <v>280000</v>
      </c>
      <c r="G25" s="36">
        <v>15</v>
      </c>
      <c r="H25" s="33">
        <f>H24*(1+'Ch05-02'!Growth)</f>
        <v>53.164976701653814</v>
      </c>
      <c r="I25" s="35">
        <f t="shared" si="2"/>
        <v>344.81474371819155</v>
      </c>
      <c r="K25" s="32" t="str">
        <f t="shared" ca="1" si="0"/>
        <v>=H24*(1+'Ch05-02'!Growth)</v>
      </c>
      <c r="M25" s="34" t="str">
        <f t="shared" ca="1" si="1"/>
        <v>=I24+H25</v>
      </c>
    </row>
    <row r="26" spans="1:13" x14ac:dyDescent="0.3">
      <c r="A26" s="21">
        <v>20</v>
      </c>
      <c r="B26" s="21" t="s">
        <v>114</v>
      </c>
      <c r="C26" s="21">
        <v>275000</v>
      </c>
    </row>
    <row r="27" spans="1:13" x14ac:dyDescent="0.3">
      <c r="A27" s="21">
        <v>21</v>
      </c>
      <c r="B27" s="21" t="s">
        <v>115</v>
      </c>
      <c r="C27" s="21">
        <v>270000</v>
      </c>
    </row>
    <row r="28" spans="1:13" x14ac:dyDescent="0.3">
      <c r="A28" s="21">
        <v>22</v>
      </c>
      <c r="B28" s="21" t="s">
        <v>116</v>
      </c>
      <c r="C28" s="21">
        <v>270000</v>
      </c>
    </row>
    <row r="29" spans="1:13" x14ac:dyDescent="0.3">
      <c r="A29" s="21">
        <v>23</v>
      </c>
      <c r="B29" s="21" t="s">
        <v>117</v>
      </c>
      <c r="C29" s="21">
        <v>250000</v>
      </c>
    </row>
    <row r="30" spans="1:13" x14ac:dyDescent="0.3">
      <c r="A30" s="21">
        <v>24</v>
      </c>
      <c r="B30" s="21" t="s">
        <v>118</v>
      </c>
      <c r="C30" s="21">
        <v>232000</v>
      </c>
    </row>
    <row r="31" spans="1:13" x14ac:dyDescent="0.3">
      <c r="A31" s="21">
        <v>25</v>
      </c>
      <c r="B31" s="21" t="s">
        <v>119</v>
      </c>
      <c r="C31" s="21">
        <v>215000</v>
      </c>
    </row>
    <row r="32" spans="1:13" x14ac:dyDescent="0.3">
      <c r="A32" s="21">
        <v>26</v>
      </c>
      <c r="B32" s="21" t="s">
        <v>120</v>
      </c>
      <c r="C32" s="21">
        <v>207500</v>
      </c>
    </row>
    <row r="33" spans="1:3" x14ac:dyDescent="0.3">
      <c r="A33" s="21">
        <v>27</v>
      </c>
      <c r="B33" s="21" t="s">
        <v>121</v>
      </c>
      <c r="C33" s="21">
        <v>203500</v>
      </c>
    </row>
    <row r="34" spans="1:3" x14ac:dyDescent="0.3">
      <c r="A34" s="21">
        <v>28</v>
      </c>
      <c r="B34" s="21" t="s">
        <v>122</v>
      </c>
      <c r="C34" s="21">
        <v>200500</v>
      </c>
    </row>
    <row r="35" spans="1:3" x14ac:dyDescent="0.3">
      <c r="A35" s="21">
        <v>29</v>
      </c>
      <c r="B35" s="21" t="s">
        <v>123</v>
      </c>
      <c r="C35" s="21">
        <v>200000</v>
      </c>
    </row>
    <row r="36" spans="1:3" x14ac:dyDescent="0.3">
      <c r="A36" s="21">
        <v>30</v>
      </c>
      <c r="B36" s="21" t="s">
        <v>124</v>
      </c>
      <c r="C36" s="21">
        <v>200000</v>
      </c>
    </row>
    <row r="37" spans="1:3" x14ac:dyDescent="0.3">
      <c r="A37" s="21">
        <v>31</v>
      </c>
      <c r="B37" s="21" t="s">
        <v>125</v>
      </c>
      <c r="C37" s="21">
        <v>200000</v>
      </c>
    </row>
    <row r="38" spans="1:3" x14ac:dyDescent="0.3">
      <c r="A38" s="21">
        <v>32</v>
      </c>
      <c r="B38" s="21" t="s">
        <v>126</v>
      </c>
      <c r="C38" s="21">
        <v>12049040</v>
      </c>
    </row>
    <row r="39" spans="1:3" x14ac:dyDescent="0.3">
      <c r="A39" s="21">
        <v>33</v>
      </c>
      <c r="B39" s="21" t="s">
        <v>127</v>
      </c>
      <c r="C39" s="21">
        <v>6658731</v>
      </c>
    </row>
    <row r="40" spans="1:3" x14ac:dyDescent="0.3">
      <c r="A40" s="21">
        <v>34</v>
      </c>
      <c r="B40" s="21" t="s">
        <v>128</v>
      </c>
      <c r="C40" s="21">
        <v>6536612</v>
      </c>
    </row>
    <row r="41" spans="1:3" x14ac:dyDescent="0.3">
      <c r="A41" s="21">
        <v>35</v>
      </c>
      <c r="B41" s="21" t="s">
        <v>129</v>
      </c>
      <c r="C41" s="21">
        <v>6300921</v>
      </c>
    </row>
    <row r="42" spans="1:3" x14ac:dyDescent="0.3">
      <c r="A42" s="21">
        <v>36</v>
      </c>
      <c r="B42" s="21" t="s">
        <v>130</v>
      </c>
      <c r="C42" s="21">
        <v>4311622</v>
      </c>
    </row>
    <row r="43" spans="1:3" x14ac:dyDescent="0.3">
      <c r="A43" s="21">
        <v>37</v>
      </c>
      <c r="B43" s="21" t="s">
        <v>131</v>
      </c>
      <c r="C43" s="21">
        <v>4209324</v>
      </c>
    </row>
    <row r="44" spans="1:3" x14ac:dyDescent="0.3">
      <c r="A44" s="21">
        <v>38</v>
      </c>
      <c r="B44" s="21" t="s">
        <v>132</v>
      </c>
      <c r="C44" s="21">
        <v>4123245</v>
      </c>
    </row>
    <row r="45" spans="1:3" x14ac:dyDescent="0.3">
      <c r="A45" s="21">
        <v>39</v>
      </c>
      <c r="B45" s="21" t="s">
        <v>133</v>
      </c>
      <c r="C45" s="21">
        <v>3000000</v>
      </c>
    </row>
    <row r="46" spans="1:3" x14ac:dyDescent="0.3">
      <c r="A46" s="21">
        <v>40</v>
      </c>
      <c r="B46" s="21" t="s">
        <v>134</v>
      </c>
      <c r="C46" s="21">
        <v>3000000</v>
      </c>
    </row>
    <row r="47" spans="1:3" x14ac:dyDescent="0.3">
      <c r="A47" s="21">
        <v>41</v>
      </c>
      <c r="B47" s="21" t="s">
        <v>135</v>
      </c>
      <c r="C47" s="21">
        <v>2750000</v>
      </c>
    </row>
    <row r="48" spans="1:3" x14ac:dyDescent="0.3">
      <c r="A48" s="21">
        <v>42</v>
      </c>
      <c r="B48" s="21" t="s">
        <v>136</v>
      </c>
      <c r="C48" s="21">
        <v>2333333</v>
      </c>
    </row>
    <row r="49" spans="1:3" x14ac:dyDescent="0.3">
      <c r="A49" s="21">
        <v>43</v>
      </c>
      <c r="B49" s="21" t="s">
        <v>137</v>
      </c>
      <c r="C49" s="21">
        <v>2100000</v>
      </c>
    </row>
    <row r="50" spans="1:3" x14ac:dyDescent="0.3">
      <c r="A50" s="21">
        <v>44</v>
      </c>
      <c r="B50" s="21" t="s">
        <v>138</v>
      </c>
      <c r="C50" s="21">
        <v>2000000</v>
      </c>
    </row>
    <row r="51" spans="1:3" x14ac:dyDescent="0.3">
      <c r="A51" s="21">
        <v>45</v>
      </c>
      <c r="B51" s="21" t="s">
        <v>139</v>
      </c>
      <c r="C51" s="21">
        <v>1550000</v>
      </c>
    </row>
    <row r="52" spans="1:3" x14ac:dyDescent="0.3">
      <c r="A52" s="21">
        <v>46</v>
      </c>
      <c r="B52" s="21" t="s">
        <v>140</v>
      </c>
      <c r="C52" s="21">
        <v>1225000</v>
      </c>
    </row>
    <row r="53" spans="1:3" x14ac:dyDescent="0.3">
      <c r="A53" s="21">
        <v>47</v>
      </c>
      <c r="B53" s="21" t="s">
        <v>141</v>
      </c>
      <c r="C53" s="21">
        <v>1200000</v>
      </c>
    </row>
    <row r="54" spans="1:3" x14ac:dyDescent="0.3">
      <c r="A54" s="21">
        <v>48</v>
      </c>
      <c r="B54" s="21" t="s">
        <v>142</v>
      </c>
      <c r="C54" s="21">
        <v>350000</v>
      </c>
    </row>
    <row r="55" spans="1:3" x14ac:dyDescent="0.3">
      <c r="A55" s="21">
        <v>49</v>
      </c>
      <c r="B55" s="21" t="s">
        <v>143</v>
      </c>
      <c r="C55" s="21">
        <v>270000</v>
      </c>
    </row>
    <row r="56" spans="1:3" x14ac:dyDescent="0.3">
      <c r="A56" s="21">
        <v>50</v>
      </c>
      <c r="B56" s="21" t="s">
        <v>144</v>
      </c>
      <c r="C56" s="21">
        <v>235000</v>
      </c>
    </row>
    <row r="57" spans="1:3" x14ac:dyDescent="0.3">
      <c r="A57" s="21">
        <v>51</v>
      </c>
      <c r="B57" s="21" t="s">
        <v>145</v>
      </c>
      <c r="C57" s="21">
        <v>232500</v>
      </c>
    </row>
    <row r="58" spans="1:3" x14ac:dyDescent="0.3">
      <c r="A58" s="21">
        <v>52</v>
      </c>
      <c r="B58" s="21" t="s">
        <v>146</v>
      </c>
      <c r="C58" s="21">
        <v>230000</v>
      </c>
    </row>
    <row r="59" spans="1:3" x14ac:dyDescent="0.3">
      <c r="A59" s="21">
        <v>53</v>
      </c>
      <c r="B59" s="21" t="s">
        <v>147</v>
      </c>
      <c r="C59" s="21">
        <v>226000</v>
      </c>
    </row>
    <row r="60" spans="1:3" x14ac:dyDescent="0.3">
      <c r="A60" s="21">
        <v>54</v>
      </c>
      <c r="B60" s="21" t="s">
        <v>148</v>
      </c>
      <c r="C60" s="21">
        <v>215000</v>
      </c>
    </row>
    <row r="61" spans="1:3" x14ac:dyDescent="0.3">
      <c r="A61" s="21">
        <v>55</v>
      </c>
      <c r="B61" s="21" t="s">
        <v>149</v>
      </c>
      <c r="C61" s="21">
        <v>210000</v>
      </c>
    </row>
    <row r="62" spans="1:3" x14ac:dyDescent="0.3">
      <c r="A62" s="21">
        <v>56</v>
      </c>
      <c r="B62" s="21" t="s">
        <v>150</v>
      </c>
      <c r="C62" s="21">
        <v>205000</v>
      </c>
    </row>
    <row r="63" spans="1:3" x14ac:dyDescent="0.3">
      <c r="A63" s="21">
        <v>57</v>
      </c>
      <c r="B63" s="21" t="s">
        <v>151</v>
      </c>
      <c r="C63" s="21">
        <v>205000</v>
      </c>
    </row>
    <row r="64" spans="1:3" x14ac:dyDescent="0.3">
      <c r="A64" s="21">
        <v>58</v>
      </c>
      <c r="B64" s="21" t="s">
        <v>152</v>
      </c>
      <c r="C64" s="21">
        <v>200000</v>
      </c>
    </row>
    <row r="65" spans="1:3" x14ac:dyDescent="0.3">
      <c r="A65" s="21">
        <v>59</v>
      </c>
      <c r="B65" s="21" t="s">
        <v>153</v>
      </c>
      <c r="C65" s="21">
        <v>200000</v>
      </c>
    </row>
    <row r="66" spans="1:3" x14ac:dyDescent="0.3">
      <c r="A66" s="21">
        <v>60</v>
      </c>
      <c r="B66" s="21" t="s">
        <v>154</v>
      </c>
      <c r="C66" s="21">
        <v>13033075</v>
      </c>
    </row>
    <row r="67" spans="1:3" x14ac:dyDescent="0.3">
      <c r="A67" s="21">
        <v>61</v>
      </c>
      <c r="B67" s="21" t="s">
        <v>155</v>
      </c>
      <c r="C67" s="21">
        <v>13000000</v>
      </c>
    </row>
    <row r="68" spans="1:3" x14ac:dyDescent="0.3">
      <c r="A68" s="21">
        <v>62</v>
      </c>
      <c r="B68" s="21" t="s">
        <v>156</v>
      </c>
      <c r="C68" s="21">
        <v>7333333</v>
      </c>
    </row>
    <row r="69" spans="1:3" x14ac:dyDescent="0.3">
      <c r="A69" s="21">
        <v>63</v>
      </c>
      <c r="B69" s="21" t="s">
        <v>157</v>
      </c>
      <c r="C69" s="21">
        <v>7250000</v>
      </c>
    </row>
    <row r="70" spans="1:3" x14ac:dyDescent="0.3">
      <c r="A70" s="21">
        <v>64</v>
      </c>
      <c r="B70" s="21" t="s">
        <v>158</v>
      </c>
      <c r="C70" s="21">
        <v>7000000</v>
      </c>
    </row>
    <row r="71" spans="1:3" x14ac:dyDescent="0.3">
      <c r="A71" s="21">
        <v>65</v>
      </c>
      <c r="B71" s="21" t="s">
        <v>159</v>
      </c>
      <c r="C71" s="21">
        <v>6750000</v>
      </c>
    </row>
    <row r="72" spans="1:3" x14ac:dyDescent="0.3">
      <c r="A72" s="21">
        <v>66</v>
      </c>
      <c r="B72" s="21" t="s">
        <v>160</v>
      </c>
      <c r="C72" s="21">
        <v>6350000</v>
      </c>
    </row>
    <row r="73" spans="1:3" x14ac:dyDescent="0.3">
      <c r="A73" s="21">
        <v>67</v>
      </c>
      <c r="B73" s="21" t="s">
        <v>161</v>
      </c>
      <c r="C73" s="21">
        <v>6250000</v>
      </c>
    </row>
    <row r="74" spans="1:3" x14ac:dyDescent="0.3">
      <c r="A74" s="21">
        <v>68</v>
      </c>
      <c r="B74" s="21" t="s">
        <v>162</v>
      </c>
      <c r="C74" s="21">
        <v>4600000</v>
      </c>
    </row>
    <row r="75" spans="1:3" x14ac:dyDescent="0.3">
      <c r="A75" s="21">
        <v>69</v>
      </c>
      <c r="B75" s="21" t="s">
        <v>163</v>
      </c>
      <c r="C75" s="21">
        <v>4500000</v>
      </c>
    </row>
    <row r="76" spans="1:3" x14ac:dyDescent="0.3">
      <c r="A76" s="21">
        <v>70</v>
      </c>
      <c r="B76" s="21" t="s">
        <v>164</v>
      </c>
      <c r="C76" s="21">
        <v>4500000</v>
      </c>
    </row>
    <row r="77" spans="1:3" x14ac:dyDescent="0.3">
      <c r="A77" s="21">
        <v>71</v>
      </c>
      <c r="B77" s="21" t="s">
        <v>165</v>
      </c>
      <c r="C77" s="21">
        <v>4500000</v>
      </c>
    </row>
    <row r="78" spans="1:3" x14ac:dyDescent="0.3">
      <c r="A78" s="21">
        <v>72</v>
      </c>
      <c r="B78" s="21" t="s">
        <v>166</v>
      </c>
      <c r="C78" s="21">
        <v>3000000</v>
      </c>
    </row>
    <row r="79" spans="1:3" x14ac:dyDescent="0.3">
      <c r="A79" s="21">
        <v>73</v>
      </c>
      <c r="B79" s="21" t="s">
        <v>167</v>
      </c>
      <c r="C79" s="21">
        <v>2500000</v>
      </c>
    </row>
    <row r="80" spans="1:3" x14ac:dyDescent="0.3">
      <c r="A80" s="21">
        <v>74</v>
      </c>
      <c r="B80" s="21" t="s">
        <v>168</v>
      </c>
      <c r="C80" s="21">
        <v>2250000</v>
      </c>
    </row>
    <row r="81" spans="1:3" x14ac:dyDescent="0.3">
      <c r="A81" s="21">
        <v>75</v>
      </c>
      <c r="B81" s="21" t="s">
        <v>169</v>
      </c>
      <c r="C81" s="21">
        <v>2125000</v>
      </c>
    </row>
    <row r="82" spans="1:3" x14ac:dyDescent="0.3">
      <c r="A82" s="21">
        <v>76</v>
      </c>
      <c r="B82" s="21" t="s">
        <v>170</v>
      </c>
      <c r="C82" s="21">
        <v>1800000</v>
      </c>
    </row>
    <row r="83" spans="1:3" x14ac:dyDescent="0.3">
      <c r="A83" s="21">
        <v>77</v>
      </c>
      <c r="B83" s="21" t="s">
        <v>171</v>
      </c>
      <c r="C83" s="21">
        <v>1680000</v>
      </c>
    </row>
    <row r="84" spans="1:3" x14ac:dyDescent="0.3">
      <c r="A84" s="21">
        <v>78</v>
      </c>
      <c r="B84" s="21" t="s">
        <v>172</v>
      </c>
      <c r="C84" s="21">
        <v>1625000</v>
      </c>
    </row>
    <row r="85" spans="1:3" x14ac:dyDescent="0.3">
      <c r="A85" s="21">
        <v>79</v>
      </c>
      <c r="B85" s="21" t="s">
        <v>173</v>
      </c>
      <c r="C85" s="21">
        <v>1450000</v>
      </c>
    </row>
    <row r="86" spans="1:3" x14ac:dyDescent="0.3">
      <c r="A86" s="21">
        <v>80</v>
      </c>
      <c r="B86" s="21" t="s">
        <v>174</v>
      </c>
      <c r="C86" s="21">
        <v>1375000</v>
      </c>
    </row>
    <row r="87" spans="1:3" x14ac:dyDescent="0.3">
      <c r="A87" s="21">
        <v>81</v>
      </c>
      <c r="B87" s="21" t="s">
        <v>175</v>
      </c>
      <c r="C87" s="21">
        <v>1300000</v>
      </c>
    </row>
    <row r="88" spans="1:3" x14ac:dyDescent="0.3">
      <c r="A88" s="21">
        <v>82</v>
      </c>
      <c r="B88" s="21" t="s">
        <v>176</v>
      </c>
      <c r="C88" s="21">
        <v>1050000</v>
      </c>
    </row>
    <row r="89" spans="1:3" x14ac:dyDescent="0.3">
      <c r="A89" s="21">
        <v>83</v>
      </c>
      <c r="B89" s="21" t="s">
        <v>177</v>
      </c>
      <c r="C89" s="21">
        <v>1000000</v>
      </c>
    </row>
    <row r="90" spans="1:3" x14ac:dyDescent="0.3">
      <c r="A90" s="21">
        <v>84</v>
      </c>
      <c r="B90" s="21" t="s">
        <v>178</v>
      </c>
      <c r="C90" s="21">
        <v>1000000</v>
      </c>
    </row>
    <row r="91" spans="1:3" x14ac:dyDescent="0.3">
      <c r="A91" s="21">
        <v>85</v>
      </c>
      <c r="B91" s="21" t="s">
        <v>179</v>
      </c>
      <c r="C91" s="21">
        <v>700000</v>
      </c>
    </row>
    <row r="92" spans="1:3" x14ac:dyDescent="0.3">
      <c r="A92" s="21">
        <v>86</v>
      </c>
      <c r="B92" s="21" t="s">
        <v>180</v>
      </c>
      <c r="C92" s="21">
        <v>400000</v>
      </c>
    </row>
    <row r="93" spans="1:3" x14ac:dyDescent="0.3">
      <c r="A93" s="21">
        <v>87</v>
      </c>
      <c r="B93" s="21" t="s">
        <v>181</v>
      </c>
      <c r="C93" s="21">
        <v>390000</v>
      </c>
    </row>
    <row r="94" spans="1:3" x14ac:dyDescent="0.3">
      <c r="A94" s="21">
        <v>88</v>
      </c>
      <c r="B94" s="21" t="s">
        <v>182</v>
      </c>
      <c r="C94" s="21">
        <v>225000</v>
      </c>
    </row>
    <row r="95" spans="1:3" x14ac:dyDescent="0.3">
      <c r="A95" s="21">
        <v>89</v>
      </c>
      <c r="B95" s="21" t="s">
        <v>183</v>
      </c>
      <c r="C95" s="21">
        <v>222500</v>
      </c>
    </row>
    <row r="96" spans="1:3" x14ac:dyDescent="0.3">
      <c r="A96" s="21">
        <v>90</v>
      </c>
      <c r="B96" s="21" t="s">
        <v>184</v>
      </c>
      <c r="C96" s="21">
        <v>200000</v>
      </c>
    </row>
    <row r="97" spans="1:3" x14ac:dyDescent="0.3">
      <c r="A97" s="21">
        <v>91</v>
      </c>
      <c r="B97" s="21" t="s">
        <v>185</v>
      </c>
      <c r="C97" s="21">
        <v>200000</v>
      </c>
    </row>
    <row r="98" spans="1:3" x14ac:dyDescent="0.3">
      <c r="A98" s="21">
        <v>92</v>
      </c>
      <c r="B98" s="21" t="s">
        <v>186</v>
      </c>
      <c r="C98" s="21">
        <v>9927000</v>
      </c>
    </row>
    <row r="99" spans="1:3" x14ac:dyDescent="0.3">
      <c r="A99" s="21">
        <v>93</v>
      </c>
      <c r="B99" s="21" t="s">
        <v>187</v>
      </c>
      <c r="C99" s="21">
        <v>9250000</v>
      </c>
    </row>
    <row r="100" spans="1:3" x14ac:dyDescent="0.3">
      <c r="A100" s="21">
        <v>94</v>
      </c>
      <c r="B100" s="21" t="s">
        <v>188</v>
      </c>
      <c r="C100" s="21">
        <v>5950000</v>
      </c>
    </row>
    <row r="101" spans="1:3" x14ac:dyDescent="0.3">
      <c r="A101" s="21">
        <v>95</v>
      </c>
      <c r="B101" s="21" t="s">
        <v>189</v>
      </c>
      <c r="C101" s="21">
        <v>5900000</v>
      </c>
    </row>
    <row r="102" spans="1:3" x14ac:dyDescent="0.3">
      <c r="A102" s="21">
        <v>96</v>
      </c>
      <c r="B102" s="21" t="s">
        <v>190</v>
      </c>
      <c r="C102" s="21">
        <v>5000000</v>
      </c>
    </row>
    <row r="103" spans="1:3" x14ac:dyDescent="0.3">
      <c r="A103" s="21">
        <v>97</v>
      </c>
      <c r="B103" s="21" t="s">
        <v>191</v>
      </c>
      <c r="C103" s="21">
        <v>4500000</v>
      </c>
    </row>
    <row r="104" spans="1:3" x14ac:dyDescent="0.3">
      <c r="A104" s="21">
        <v>98</v>
      </c>
      <c r="B104" s="21" t="s">
        <v>192</v>
      </c>
      <c r="C104" s="21">
        <v>3750000</v>
      </c>
    </row>
    <row r="105" spans="1:3" x14ac:dyDescent="0.3">
      <c r="A105" s="21">
        <v>99</v>
      </c>
      <c r="B105" s="21" t="s">
        <v>193</v>
      </c>
      <c r="C105" s="21">
        <v>3100000</v>
      </c>
    </row>
    <row r="106" spans="1:3" x14ac:dyDescent="0.3">
      <c r="A106" s="21">
        <v>100</v>
      </c>
      <c r="B106" s="21" t="s">
        <v>194</v>
      </c>
      <c r="C106" s="21">
        <v>2300000</v>
      </c>
    </row>
    <row r="107" spans="1:3" x14ac:dyDescent="0.3">
      <c r="A107" s="21">
        <v>101</v>
      </c>
      <c r="B107" s="21" t="s">
        <v>195</v>
      </c>
      <c r="C107" s="21">
        <v>1925000</v>
      </c>
    </row>
    <row r="108" spans="1:3" x14ac:dyDescent="0.3">
      <c r="A108" s="21">
        <v>102</v>
      </c>
      <c r="B108" s="21" t="s">
        <v>196</v>
      </c>
      <c r="C108" s="21">
        <v>1500000</v>
      </c>
    </row>
    <row r="109" spans="1:3" x14ac:dyDescent="0.3">
      <c r="A109" s="21">
        <v>103</v>
      </c>
      <c r="B109" s="21" t="s">
        <v>197</v>
      </c>
      <c r="C109" s="21">
        <v>1000000</v>
      </c>
    </row>
    <row r="110" spans="1:3" x14ac:dyDescent="0.3">
      <c r="A110" s="21">
        <v>104</v>
      </c>
      <c r="B110" s="21" t="s">
        <v>198</v>
      </c>
      <c r="C110" s="21">
        <v>975000</v>
      </c>
    </row>
    <row r="111" spans="1:3" x14ac:dyDescent="0.3">
      <c r="A111" s="21">
        <v>105</v>
      </c>
      <c r="B111" s="21" t="s">
        <v>199</v>
      </c>
      <c r="C111" s="21">
        <v>750000</v>
      </c>
    </row>
    <row r="112" spans="1:3" x14ac:dyDescent="0.3">
      <c r="A112" s="21">
        <v>106</v>
      </c>
      <c r="B112" s="21" t="s">
        <v>200</v>
      </c>
      <c r="C112" s="21">
        <v>550000</v>
      </c>
    </row>
    <row r="113" spans="1:3" x14ac:dyDescent="0.3">
      <c r="A113" s="21">
        <v>107</v>
      </c>
      <c r="B113" s="21" t="s">
        <v>201</v>
      </c>
      <c r="C113" s="21">
        <v>400000</v>
      </c>
    </row>
    <row r="114" spans="1:3" x14ac:dyDescent="0.3">
      <c r="A114" s="21">
        <v>108</v>
      </c>
      <c r="B114" s="21" t="s">
        <v>202</v>
      </c>
      <c r="C114" s="21">
        <v>375000</v>
      </c>
    </row>
    <row r="115" spans="1:3" x14ac:dyDescent="0.3">
      <c r="A115" s="21">
        <v>109</v>
      </c>
      <c r="B115" s="21" t="s">
        <v>203</v>
      </c>
      <c r="C115" s="21">
        <v>375000</v>
      </c>
    </row>
    <row r="116" spans="1:3" x14ac:dyDescent="0.3">
      <c r="A116" s="21">
        <v>110</v>
      </c>
      <c r="B116" s="21" t="s">
        <v>204</v>
      </c>
      <c r="C116" s="21">
        <v>315000</v>
      </c>
    </row>
    <row r="117" spans="1:3" x14ac:dyDescent="0.3">
      <c r="A117" s="21">
        <v>111</v>
      </c>
      <c r="B117" s="21" t="s">
        <v>205</v>
      </c>
      <c r="C117" s="21">
        <v>300000</v>
      </c>
    </row>
    <row r="118" spans="1:3" x14ac:dyDescent="0.3">
      <c r="A118" s="21">
        <v>112</v>
      </c>
      <c r="B118" s="21" t="s">
        <v>206</v>
      </c>
      <c r="C118" s="21">
        <v>260000</v>
      </c>
    </row>
    <row r="119" spans="1:3" x14ac:dyDescent="0.3">
      <c r="A119" s="21">
        <v>113</v>
      </c>
      <c r="B119" s="21" t="s">
        <v>207</v>
      </c>
      <c r="C119" s="21">
        <v>230000</v>
      </c>
    </row>
    <row r="120" spans="1:3" x14ac:dyDescent="0.3">
      <c r="A120" s="21">
        <v>114</v>
      </c>
      <c r="B120" s="21" t="s">
        <v>208</v>
      </c>
      <c r="C120" s="21">
        <v>225000</v>
      </c>
    </row>
    <row r="121" spans="1:3" x14ac:dyDescent="0.3">
      <c r="A121" s="21">
        <v>115</v>
      </c>
      <c r="B121" s="21" t="s">
        <v>209</v>
      </c>
      <c r="C121" s="21">
        <v>205000</v>
      </c>
    </row>
    <row r="122" spans="1:3" x14ac:dyDescent="0.3">
      <c r="A122" s="21">
        <v>116</v>
      </c>
      <c r="B122" s="21" t="s">
        <v>210</v>
      </c>
      <c r="C122" s="21">
        <v>201000</v>
      </c>
    </row>
    <row r="123" spans="1:3" x14ac:dyDescent="0.3">
      <c r="A123" s="21">
        <v>117</v>
      </c>
      <c r="B123" s="21" t="s">
        <v>211</v>
      </c>
      <c r="C123" s="21">
        <v>200000</v>
      </c>
    </row>
    <row r="124" spans="1:3" x14ac:dyDescent="0.3">
      <c r="A124" s="21">
        <v>118</v>
      </c>
      <c r="B124" s="21" t="s">
        <v>212</v>
      </c>
      <c r="C124" s="21">
        <v>10000000</v>
      </c>
    </row>
    <row r="125" spans="1:3" x14ac:dyDescent="0.3">
      <c r="A125" s="21">
        <v>119</v>
      </c>
      <c r="B125" s="21" t="s">
        <v>213</v>
      </c>
      <c r="C125" s="21">
        <v>8911948</v>
      </c>
    </row>
    <row r="126" spans="1:3" x14ac:dyDescent="0.3">
      <c r="A126" s="21">
        <v>120</v>
      </c>
      <c r="B126" s="21" t="s">
        <v>214</v>
      </c>
      <c r="C126" s="21">
        <v>8175000</v>
      </c>
    </row>
    <row r="127" spans="1:3" x14ac:dyDescent="0.3">
      <c r="A127" s="21">
        <v>121</v>
      </c>
      <c r="B127" s="21" t="s">
        <v>215</v>
      </c>
      <c r="C127" s="21">
        <v>8000000</v>
      </c>
    </row>
    <row r="128" spans="1:3" x14ac:dyDescent="0.3">
      <c r="A128" s="21">
        <v>122</v>
      </c>
      <c r="B128" s="21" t="s">
        <v>216</v>
      </c>
      <c r="C128" s="21">
        <v>7342698</v>
      </c>
    </row>
    <row r="129" spans="1:3" x14ac:dyDescent="0.3">
      <c r="A129" s="21">
        <v>123</v>
      </c>
      <c r="B129" s="21" t="s">
        <v>217</v>
      </c>
      <c r="C129" s="21">
        <v>6000000</v>
      </c>
    </row>
    <row r="130" spans="1:3" x14ac:dyDescent="0.3">
      <c r="A130" s="21">
        <v>124</v>
      </c>
      <c r="B130" s="21" t="s">
        <v>218</v>
      </c>
      <c r="C130" s="21">
        <v>5750000</v>
      </c>
    </row>
    <row r="131" spans="1:3" x14ac:dyDescent="0.3">
      <c r="A131" s="21">
        <v>125</v>
      </c>
      <c r="B131" s="21" t="s">
        <v>219</v>
      </c>
      <c r="C131" s="21">
        <v>5666667</v>
      </c>
    </row>
    <row r="132" spans="1:3" x14ac:dyDescent="0.3">
      <c r="A132" s="21">
        <v>126</v>
      </c>
      <c r="B132" s="21" t="s">
        <v>220</v>
      </c>
      <c r="C132" s="21">
        <v>5000000</v>
      </c>
    </row>
    <row r="133" spans="1:3" x14ac:dyDescent="0.3">
      <c r="A133" s="21">
        <v>127</v>
      </c>
      <c r="B133" s="21" t="s">
        <v>221</v>
      </c>
      <c r="C133" s="21">
        <v>3000000</v>
      </c>
    </row>
    <row r="134" spans="1:3" x14ac:dyDescent="0.3">
      <c r="A134" s="21">
        <v>128</v>
      </c>
      <c r="B134" s="21" t="s">
        <v>222</v>
      </c>
      <c r="C134" s="21">
        <v>2700000</v>
      </c>
    </row>
    <row r="135" spans="1:3" x14ac:dyDescent="0.3">
      <c r="A135" s="21">
        <v>129</v>
      </c>
      <c r="B135" s="21" t="s">
        <v>223</v>
      </c>
      <c r="C135" s="21">
        <v>2666667</v>
      </c>
    </row>
    <row r="136" spans="1:3" x14ac:dyDescent="0.3">
      <c r="A136" s="21">
        <v>130</v>
      </c>
      <c r="B136" s="21" t="s">
        <v>224</v>
      </c>
      <c r="C136" s="21">
        <v>2625000</v>
      </c>
    </row>
    <row r="137" spans="1:3" x14ac:dyDescent="0.3">
      <c r="A137" s="21">
        <v>131</v>
      </c>
      <c r="B137" s="21" t="s">
        <v>225</v>
      </c>
      <c r="C137" s="21">
        <v>2600000</v>
      </c>
    </row>
    <row r="138" spans="1:3" x14ac:dyDescent="0.3">
      <c r="A138" s="21">
        <v>132</v>
      </c>
      <c r="B138" s="21" t="s">
        <v>226</v>
      </c>
      <c r="C138" s="21">
        <v>2562500</v>
      </c>
    </row>
    <row r="139" spans="1:3" x14ac:dyDescent="0.3">
      <c r="A139" s="21">
        <v>133</v>
      </c>
      <c r="B139" s="21" t="s">
        <v>227</v>
      </c>
      <c r="C139" s="21">
        <v>2000000</v>
      </c>
    </row>
    <row r="140" spans="1:3" x14ac:dyDescent="0.3">
      <c r="A140" s="21">
        <v>134</v>
      </c>
      <c r="B140" s="21" t="s">
        <v>228</v>
      </c>
      <c r="C140" s="21">
        <v>1800000</v>
      </c>
    </row>
    <row r="141" spans="1:3" x14ac:dyDescent="0.3">
      <c r="A141" s="21">
        <v>135</v>
      </c>
      <c r="B141" s="21" t="s">
        <v>229</v>
      </c>
      <c r="C141" s="21">
        <v>1600000</v>
      </c>
    </row>
    <row r="142" spans="1:3" x14ac:dyDescent="0.3">
      <c r="A142" s="21">
        <v>136</v>
      </c>
      <c r="B142" s="21" t="s">
        <v>230</v>
      </c>
      <c r="C142" s="21">
        <v>1500000</v>
      </c>
    </row>
    <row r="143" spans="1:3" x14ac:dyDescent="0.3">
      <c r="A143" s="21">
        <v>137</v>
      </c>
      <c r="B143" s="21" t="s">
        <v>231</v>
      </c>
      <c r="C143" s="21">
        <v>1325000</v>
      </c>
    </row>
    <row r="144" spans="1:3" x14ac:dyDescent="0.3">
      <c r="A144" s="21">
        <v>138</v>
      </c>
      <c r="B144" s="21" t="s">
        <v>232</v>
      </c>
      <c r="C144" s="21">
        <v>600000</v>
      </c>
    </row>
    <row r="145" spans="1:3" x14ac:dyDescent="0.3">
      <c r="A145" s="21">
        <v>139</v>
      </c>
      <c r="B145" s="21" t="s">
        <v>233</v>
      </c>
      <c r="C145" s="21">
        <v>387500</v>
      </c>
    </row>
    <row r="146" spans="1:3" x14ac:dyDescent="0.3">
      <c r="A146" s="21">
        <v>140</v>
      </c>
      <c r="B146" s="21" t="s">
        <v>234</v>
      </c>
      <c r="C146" s="21">
        <v>243000</v>
      </c>
    </row>
    <row r="147" spans="1:3" x14ac:dyDescent="0.3">
      <c r="A147" s="21">
        <v>141</v>
      </c>
      <c r="B147" s="21" t="s">
        <v>235</v>
      </c>
      <c r="C147" s="21">
        <v>237000</v>
      </c>
    </row>
    <row r="148" spans="1:3" x14ac:dyDescent="0.3">
      <c r="A148" s="21">
        <v>142</v>
      </c>
      <c r="B148" s="21" t="s">
        <v>236</v>
      </c>
      <c r="C148" s="21">
        <v>230000</v>
      </c>
    </row>
    <row r="149" spans="1:3" x14ac:dyDescent="0.3">
      <c r="A149" s="21">
        <v>143</v>
      </c>
      <c r="B149" s="21" t="s">
        <v>237</v>
      </c>
      <c r="C149" s="21">
        <v>219000</v>
      </c>
    </row>
    <row r="150" spans="1:3" x14ac:dyDescent="0.3">
      <c r="A150" s="21">
        <v>144</v>
      </c>
      <c r="B150" s="21" t="s">
        <v>238</v>
      </c>
      <c r="C150" s="21">
        <v>214000</v>
      </c>
    </row>
    <row r="151" spans="1:3" x14ac:dyDescent="0.3">
      <c r="A151" s="21">
        <v>145</v>
      </c>
      <c r="B151" s="21" t="s">
        <v>239</v>
      </c>
      <c r="C151" s="21">
        <v>209000</v>
      </c>
    </row>
    <row r="152" spans="1:3" x14ac:dyDescent="0.3">
      <c r="A152" s="21">
        <v>146</v>
      </c>
      <c r="B152" s="21" t="s">
        <v>240</v>
      </c>
      <c r="C152" s="21">
        <v>208000</v>
      </c>
    </row>
    <row r="153" spans="1:3" x14ac:dyDescent="0.3">
      <c r="A153" s="21">
        <v>147</v>
      </c>
      <c r="B153" s="21" t="s">
        <v>241</v>
      </c>
      <c r="C153" s="21">
        <v>202000</v>
      </c>
    </row>
    <row r="154" spans="1:3" x14ac:dyDescent="0.3">
      <c r="A154" s="21">
        <v>148</v>
      </c>
      <c r="B154" s="21" t="s">
        <v>242</v>
      </c>
      <c r="C154" s="21">
        <v>7500000</v>
      </c>
    </row>
    <row r="155" spans="1:3" x14ac:dyDescent="0.3">
      <c r="A155" s="21">
        <v>149</v>
      </c>
      <c r="B155" s="21" t="s">
        <v>243</v>
      </c>
      <c r="C155" s="21">
        <v>5325000</v>
      </c>
    </row>
    <row r="156" spans="1:3" x14ac:dyDescent="0.3">
      <c r="A156" s="21">
        <v>150</v>
      </c>
      <c r="B156" s="21" t="s">
        <v>244</v>
      </c>
      <c r="C156" s="21">
        <v>5300000</v>
      </c>
    </row>
    <row r="157" spans="1:3" x14ac:dyDescent="0.3">
      <c r="A157" s="21">
        <v>151</v>
      </c>
      <c r="B157" s="21" t="s">
        <v>245</v>
      </c>
      <c r="C157" s="21">
        <v>5250000</v>
      </c>
    </row>
    <row r="158" spans="1:3" x14ac:dyDescent="0.3">
      <c r="A158" s="21">
        <v>152</v>
      </c>
      <c r="B158" s="21" t="s">
        <v>246</v>
      </c>
      <c r="C158" s="21">
        <v>4662500</v>
      </c>
    </row>
    <row r="159" spans="1:3" x14ac:dyDescent="0.3">
      <c r="A159" s="21">
        <v>153</v>
      </c>
      <c r="B159" s="21" t="s">
        <v>247</v>
      </c>
      <c r="C159" s="21">
        <v>3975000</v>
      </c>
    </row>
    <row r="160" spans="1:3" x14ac:dyDescent="0.3">
      <c r="A160" s="21">
        <v>154</v>
      </c>
      <c r="B160" s="21" t="s">
        <v>248</v>
      </c>
      <c r="C160" s="21">
        <v>3525000</v>
      </c>
    </row>
    <row r="161" spans="1:3" x14ac:dyDescent="0.3">
      <c r="A161" s="21">
        <v>155</v>
      </c>
      <c r="B161" s="21" t="s">
        <v>249</v>
      </c>
      <c r="C161" s="21">
        <v>2700000</v>
      </c>
    </row>
    <row r="162" spans="1:3" x14ac:dyDescent="0.3">
      <c r="A162" s="21">
        <v>156</v>
      </c>
      <c r="B162" s="21" t="s">
        <v>250</v>
      </c>
      <c r="C162" s="21">
        <v>2416667</v>
      </c>
    </row>
    <row r="163" spans="1:3" x14ac:dyDescent="0.3">
      <c r="A163" s="21">
        <v>157</v>
      </c>
      <c r="B163" s="21" t="s">
        <v>251</v>
      </c>
      <c r="C163" s="21">
        <v>1850000</v>
      </c>
    </row>
    <row r="164" spans="1:3" x14ac:dyDescent="0.3">
      <c r="A164" s="21">
        <v>158</v>
      </c>
      <c r="B164" s="21" t="s">
        <v>252</v>
      </c>
      <c r="C164" s="21">
        <v>1200000</v>
      </c>
    </row>
    <row r="165" spans="1:3" x14ac:dyDescent="0.3">
      <c r="A165" s="21">
        <v>159</v>
      </c>
      <c r="B165" s="21" t="s">
        <v>253</v>
      </c>
      <c r="C165" s="21">
        <v>1100000</v>
      </c>
    </row>
    <row r="166" spans="1:3" x14ac:dyDescent="0.3">
      <c r="A166" s="21">
        <v>160</v>
      </c>
      <c r="B166" s="21" t="s">
        <v>254</v>
      </c>
      <c r="C166" s="21">
        <v>650000</v>
      </c>
    </row>
    <row r="167" spans="1:3" x14ac:dyDescent="0.3">
      <c r="A167" s="21">
        <v>161</v>
      </c>
      <c r="B167" s="21" t="s">
        <v>255</v>
      </c>
      <c r="C167" s="21">
        <v>440000</v>
      </c>
    </row>
    <row r="168" spans="1:3" x14ac:dyDescent="0.3">
      <c r="A168" s="21">
        <v>162</v>
      </c>
      <c r="B168" s="21" t="s">
        <v>256</v>
      </c>
      <c r="C168" s="21">
        <v>425000</v>
      </c>
    </row>
    <row r="169" spans="1:3" x14ac:dyDescent="0.3">
      <c r="A169" s="21">
        <v>163</v>
      </c>
      <c r="B169" s="21" t="s">
        <v>257</v>
      </c>
      <c r="C169" s="21">
        <v>420000</v>
      </c>
    </row>
    <row r="170" spans="1:3" x14ac:dyDescent="0.3">
      <c r="A170" s="21">
        <v>164</v>
      </c>
      <c r="B170" s="21" t="s">
        <v>258</v>
      </c>
      <c r="C170" s="21">
        <v>355000</v>
      </c>
    </row>
    <row r="171" spans="1:3" x14ac:dyDescent="0.3">
      <c r="A171" s="21">
        <v>165</v>
      </c>
      <c r="B171" s="21" t="s">
        <v>259</v>
      </c>
      <c r="C171" s="21">
        <v>345000</v>
      </c>
    </row>
    <row r="172" spans="1:3" x14ac:dyDescent="0.3">
      <c r="A172" s="21">
        <v>166</v>
      </c>
      <c r="B172" s="21" t="s">
        <v>260</v>
      </c>
      <c r="C172" s="21">
        <v>275000</v>
      </c>
    </row>
    <row r="173" spans="1:3" x14ac:dyDescent="0.3">
      <c r="A173" s="21">
        <v>167</v>
      </c>
      <c r="B173" s="21" t="s">
        <v>261</v>
      </c>
      <c r="C173" s="21">
        <v>260000</v>
      </c>
    </row>
    <row r="174" spans="1:3" x14ac:dyDescent="0.3">
      <c r="A174" s="21">
        <v>168</v>
      </c>
      <c r="B174" s="21" t="s">
        <v>262</v>
      </c>
      <c r="C174" s="21">
        <v>255000</v>
      </c>
    </row>
    <row r="175" spans="1:3" x14ac:dyDescent="0.3">
      <c r="A175" s="21">
        <v>169</v>
      </c>
      <c r="B175" s="21" t="s">
        <v>263</v>
      </c>
      <c r="C175" s="21">
        <v>255000</v>
      </c>
    </row>
    <row r="176" spans="1:3" x14ac:dyDescent="0.3">
      <c r="A176" s="21">
        <v>170</v>
      </c>
      <c r="B176" s="21" t="s">
        <v>264</v>
      </c>
      <c r="C176" s="21">
        <v>250000</v>
      </c>
    </row>
    <row r="177" spans="1:3" x14ac:dyDescent="0.3">
      <c r="A177" s="21">
        <v>171</v>
      </c>
      <c r="B177" s="21" t="s">
        <v>265</v>
      </c>
      <c r="C177" s="21">
        <v>240000</v>
      </c>
    </row>
    <row r="178" spans="1:3" x14ac:dyDescent="0.3">
      <c r="A178" s="21">
        <v>172</v>
      </c>
      <c r="B178" s="21" t="s">
        <v>266</v>
      </c>
      <c r="C178" s="21">
        <v>240000</v>
      </c>
    </row>
    <row r="179" spans="1:3" x14ac:dyDescent="0.3">
      <c r="A179" s="21">
        <v>173</v>
      </c>
      <c r="B179" s="21" t="s">
        <v>267</v>
      </c>
      <c r="C179" s="21">
        <v>217000</v>
      </c>
    </row>
    <row r="180" spans="1:3" x14ac:dyDescent="0.3">
      <c r="A180" s="21">
        <v>174</v>
      </c>
      <c r="B180" s="21" t="s">
        <v>268</v>
      </c>
      <c r="C180" s="21">
        <v>200000</v>
      </c>
    </row>
    <row r="181" spans="1:3" x14ac:dyDescent="0.3">
      <c r="A181" s="21">
        <v>175</v>
      </c>
      <c r="B181" s="21" t="s">
        <v>269</v>
      </c>
      <c r="C181" s="21">
        <v>200000</v>
      </c>
    </row>
    <row r="182" spans="1:3" x14ac:dyDescent="0.3">
      <c r="A182" s="21">
        <v>176</v>
      </c>
      <c r="B182" s="21" t="s">
        <v>270</v>
      </c>
      <c r="C182" s="21">
        <v>6000000</v>
      </c>
    </row>
    <row r="183" spans="1:3" x14ac:dyDescent="0.3">
      <c r="A183" s="21">
        <v>177</v>
      </c>
      <c r="B183" s="21" t="s">
        <v>271</v>
      </c>
      <c r="C183" s="21">
        <v>5000000</v>
      </c>
    </row>
    <row r="184" spans="1:3" x14ac:dyDescent="0.3">
      <c r="A184" s="21">
        <v>178</v>
      </c>
      <c r="B184" s="21" t="s">
        <v>272</v>
      </c>
      <c r="C184" s="21">
        <v>3800000</v>
      </c>
    </row>
    <row r="185" spans="1:3" x14ac:dyDescent="0.3">
      <c r="A185" s="21">
        <v>179</v>
      </c>
      <c r="B185" s="21" t="s">
        <v>273</v>
      </c>
      <c r="C185" s="21">
        <v>3250000</v>
      </c>
    </row>
    <row r="186" spans="1:3" x14ac:dyDescent="0.3">
      <c r="A186" s="21">
        <v>180</v>
      </c>
      <c r="B186" s="21" t="s">
        <v>274</v>
      </c>
      <c r="C186" s="21">
        <v>2350000</v>
      </c>
    </row>
    <row r="187" spans="1:3" x14ac:dyDescent="0.3">
      <c r="A187" s="21">
        <v>181</v>
      </c>
      <c r="B187" s="21" t="s">
        <v>275</v>
      </c>
      <c r="C187" s="21">
        <v>2300000</v>
      </c>
    </row>
    <row r="188" spans="1:3" x14ac:dyDescent="0.3">
      <c r="A188" s="21">
        <v>182</v>
      </c>
      <c r="B188" s="21" t="s">
        <v>276</v>
      </c>
      <c r="C188" s="21">
        <v>2300000</v>
      </c>
    </row>
    <row r="189" spans="1:3" x14ac:dyDescent="0.3">
      <c r="A189" s="21">
        <v>183</v>
      </c>
      <c r="B189" s="21" t="s">
        <v>277</v>
      </c>
      <c r="C189" s="21">
        <v>1900000</v>
      </c>
    </row>
    <row r="190" spans="1:3" x14ac:dyDescent="0.3">
      <c r="A190" s="21">
        <v>184</v>
      </c>
      <c r="B190" s="21" t="s">
        <v>278</v>
      </c>
      <c r="C190" s="21">
        <v>1200000</v>
      </c>
    </row>
    <row r="191" spans="1:3" x14ac:dyDescent="0.3">
      <c r="A191" s="21">
        <v>185</v>
      </c>
      <c r="B191" s="21" t="s">
        <v>279</v>
      </c>
      <c r="C191" s="21">
        <v>1150000</v>
      </c>
    </row>
    <row r="192" spans="1:3" x14ac:dyDescent="0.3">
      <c r="A192" s="21">
        <v>186</v>
      </c>
      <c r="B192" s="21" t="s">
        <v>280</v>
      </c>
      <c r="C192" s="21">
        <v>800000</v>
      </c>
    </row>
    <row r="193" spans="1:3" x14ac:dyDescent="0.3">
      <c r="A193" s="21">
        <v>187</v>
      </c>
      <c r="B193" s="21" t="s">
        <v>281</v>
      </c>
      <c r="C193" s="21">
        <v>750000</v>
      </c>
    </row>
    <row r="194" spans="1:3" x14ac:dyDescent="0.3">
      <c r="A194" s="21">
        <v>188</v>
      </c>
      <c r="B194" s="21" t="s">
        <v>282</v>
      </c>
      <c r="C194" s="21">
        <v>750000</v>
      </c>
    </row>
    <row r="195" spans="1:3" x14ac:dyDescent="0.3">
      <c r="A195" s="21">
        <v>189</v>
      </c>
      <c r="B195" s="21" t="s">
        <v>283</v>
      </c>
      <c r="C195" s="21">
        <v>425000</v>
      </c>
    </row>
    <row r="196" spans="1:3" x14ac:dyDescent="0.3">
      <c r="A196" s="21">
        <v>190</v>
      </c>
      <c r="B196" s="21" t="s">
        <v>284</v>
      </c>
      <c r="C196" s="21">
        <v>320000</v>
      </c>
    </row>
    <row r="197" spans="1:3" x14ac:dyDescent="0.3">
      <c r="A197" s="21">
        <v>191</v>
      </c>
      <c r="B197" s="21" t="s">
        <v>285</v>
      </c>
      <c r="C197" s="21">
        <v>310000</v>
      </c>
    </row>
    <row r="198" spans="1:3" x14ac:dyDescent="0.3">
      <c r="A198" s="21">
        <v>192</v>
      </c>
      <c r="B198" s="21" t="s">
        <v>286</v>
      </c>
      <c r="C198" s="21">
        <v>280000</v>
      </c>
    </row>
    <row r="199" spans="1:3" x14ac:dyDescent="0.3">
      <c r="A199" s="21">
        <v>193</v>
      </c>
      <c r="B199" s="21" t="s">
        <v>287</v>
      </c>
      <c r="C199" s="21">
        <v>275000</v>
      </c>
    </row>
    <row r="200" spans="1:3" x14ac:dyDescent="0.3">
      <c r="A200" s="21">
        <v>194</v>
      </c>
      <c r="B200" s="21" t="s">
        <v>288</v>
      </c>
      <c r="C200" s="21">
        <v>265000</v>
      </c>
    </row>
    <row r="201" spans="1:3" x14ac:dyDescent="0.3">
      <c r="A201" s="21">
        <v>195</v>
      </c>
      <c r="B201" s="21" t="s">
        <v>289</v>
      </c>
      <c r="C201" s="21">
        <v>260000</v>
      </c>
    </row>
    <row r="202" spans="1:3" x14ac:dyDescent="0.3">
      <c r="A202" s="21">
        <v>196</v>
      </c>
      <c r="B202" s="21" t="s">
        <v>290</v>
      </c>
      <c r="C202" s="21">
        <v>260000</v>
      </c>
    </row>
    <row r="203" spans="1:3" x14ac:dyDescent="0.3">
      <c r="A203" s="21">
        <v>197</v>
      </c>
      <c r="B203" s="21" t="s">
        <v>291</v>
      </c>
      <c r="C203" s="21">
        <v>235000</v>
      </c>
    </row>
    <row r="204" spans="1:3" x14ac:dyDescent="0.3">
      <c r="A204" s="21">
        <v>198</v>
      </c>
      <c r="B204" s="21" t="s">
        <v>292</v>
      </c>
      <c r="C204" s="21">
        <v>235000</v>
      </c>
    </row>
    <row r="205" spans="1:3" x14ac:dyDescent="0.3">
      <c r="A205" s="21">
        <v>199</v>
      </c>
      <c r="B205" s="21" t="s">
        <v>293</v>
      </c>
      <c r="C205" s="21">
        <v>211500</v>
      </c>
    </row>
    <row r="206" spans="1:3" x14ac:dyDescent="0.3">
      <c r="A206" s="21">
        <v>200</v>
      </c>
      <c r="B206" s="21" t="s">
        <v>294</v>
      </c>
      <c r="C206" s="21">
        <v>205000</v>
      </c>
    </row>
    <row r="207" spans="1:3" x14ac:dyDescent="0.3">
      <c r="A207" s="21">
        <v>201</v>
      </c>
      <c r="B207" s="21" t="s">
        <v>295</v>
      </c>
      <c r="C207" s="21">
        <v>205000</v>
      </c>
    </row>
    <row r="208" spans="1:3" x14ac:dyDescent="0.3">
      <c r="A208" s="21">
        <v>202</v>
      </c>
      <c r="B208" s="21" t="s">
        <v>296</v>
      </c>
      <c r="C208" s="21">
        <v>204000</v>
      </c>
    </row>
    <row r="209" spans="1:3" x14ac:dyDescent="0.3">
      <c r="A209" s="21">
        <v>203</v>
      </c>
      <c r="B209" s="21" t="s">
        <v>297</v>
      </c>
      <c r="C209" s="21">
        <v>202500</v>
      </c>
    </row>
    <row r="210" spans="1:3" x14ac:dyDescent="0.3">
      <c r="A210" s="21">
        <v>204</v>
      </c>
      <c r="B210" s="21" t="s">
        <v>298</v>
      </c>
      <c r="C210" s="21">
        <v>200000</v>
      </c>
    </row>
    <row r="211" spans="1:3" x14ac:dyDescent="0.3">
      <c r="A211" s="21">
        <v>205</v>
      </c>
      <c r="B211" s="21" t="s">
        <v>299</v>
      </c>
      <c r="C211" s="21">
        <v>7750000</v>
      </c>
    </row>
    <row r="212" spans="1:3" x14ac:dyDescent="0.3">
      <c r="A212" s="21">
        <v>206</v>
      </c>
      <c r="B212" s="21" t="s">
        <v>300</v>
      </c>
      <c r="C212" s="21">
        <v>3900000</v>
      </c>
    </row>
    <row r="213" spans="1:3" x14ac:dyDescent="0.3">
      <c r="A213" s="21">
        <v>207</v>
      </c>
      <c r="B213" s="21" t="s">
        <v>301</v>
      </c>
      <c r="C213" s="21">
        <v>2150000</v>
      </c>
    </row>
    <row r="214" spans="1:3" x14ac:dyDescent="0.3">
      <c r="A214" s="21">
        <v>208</v>
      </c>
      <c r="B214" s="21" t="s">
        <v>302</v>
      </c>
      <c r="C214" s="21">
        <v>1800000</v>
      </c>
    </row>
    <row r="215" spans="1:3" x14ac:dyDescent="0.3">
      <c r="A215" s="21">
        <v>209</v>
      </c>
      <c r="B215" s="21" t="s">
        <v>303</v>
      </c>
      <c r="C215" s="21">
        <v>1450000</v>
      </c>
    </row>
    <row r="216" spans="1:3" x14ac:dyDescent="0.3">
      <c r="A216" s="21">
        <v>210</v>
      </c>
      <c r="B216" s="21" t="s">
        <v>304</v>
      </c>
      <c r="C216" s="21">
        <v>1100000</v>
      </c>
    </row>
    <row r="217" spans="1:3" x14ac:dyDescent="0.3">
      <c r="A217" s="21">
        <v>211</v>
      </c>
      <c r="B217" s="21" t="s">
        <v>305</v>
      </c>
      <c r="C217" s="21">
        <v>900000</v>
      </c>
    </row>
    <row r="218" spans="1:3" x14ac:dyDescent="0.3">
      <c r="A218" s="21">
        <v>212</v>
      </c>
      <c r="B218" s="21" t="s">
        <v>306</v>
      </c>
      <c r="C218" s="21">
        <v>500000</v>
      </c>
    </row>
    <row r="219" spans="1:3" x14ac:dyDescent="0.3">
      <c r="A219" s="21">
        <v>213</v>
      </c>
      <c r="B219" s="21" t="s">
        <v>307</v>
      </c>
      <c r="C219" s="21">
        <v>400000</v>
      </c>
    </row>
    <row r="220" spans="1:3" x14ac:dyDescent="0.3">
      <c r="A220" s="21">
        <v>214</v>
      </c>
      <c r="B220" s="21" t="s">
        <v>308</v>
      </c>
      <c r="C220" s="21">
        <v>400000</v>
      </c>
    </row>
    <row r="221" spans="1:3" x14ac:dyDescent="0.3">
      <c r="A221" s="21">
        <v>215</v>
      </c>
      <c r="B221" s="21" t="s">
        <v>309</v>
      </c>
      <c r="C221" s="21">
        <v>325000</v>
      </c>
    </row>
    <row r="222" spans="1:3" x14ac:dyDescent="0.3">
      <c r="A222" s="21">
        <v>216</v>
      </c>
      <c r="B222" s="21" t="s">
        <v>310</v>
      </c>
      <c r="C222" s="21">
        <v>275000</v>
      </c>
    </row>
    <row r="223" spans="1:3" x14ac:dyDescent="0.3">
      <c r="A223" s="21">
        <v>217</v>
      </c>
      <c r="B223" s="21" t="s">
        <v>311</v>
      </c>
      <c r="C223" s="21">
        <v>260000</v>
      </c>
    </row>
    <row r="224" spans="1:3" x14ac:dyDescent="0.3">
      <c r="A224" s="21">
        <v>218</v>
      </c>
      <c r="B224" s="21" t="s">
        <v>312</v>
      </c>
      <c r="C224" s="21">
        <v>260000</v>
      </c>
    </row>
    <row r="225" spans="1:3" x14ac:dyDescent="0.3">
      <c r="A225" s="21">
        <v>219</v>
      </c>
      <c r="B225" s="21" t="s">
        <v>313</v>
      </c>
      <c r="C225" s="21">
        <v>255000</v>
      </c>
    </row>
    <row r="226" spans="1:3" x14ac:dyDescent="0.3">
      <c r="A226" s="21">
        <v>220</v>
      </c>
      <c r="B226" s="21" t="s">
        <v>314</v>
      </c>
      <c r="C226" s="21">
        <v>250000</v>
      </c>
    </row>
    <row r="227" spans="1:3" x14ac:dyDescent="0.3">
      <c r="A227" s="21">
        <v>221</v>
      </c>
      <c r="B227" s="21" t="s">
        <v>315</v>
      </c>
      <c r="C227" s="21">
        <v>240000</v>
      </c>
    </row>
    <row r="228" spans="1:3" x14ac:dyDescent="0.3">
      <c r="A228" s="21">
        <v>222</v>
      </c>
      <c r="B228" s="21" t="s">
        <v>316</v>
      </c>
      <c r="C228" s="21">
        <v>235000</v>
      </c>
    </row>
    <row r="229" spans="1:3" x14ac:dyDescent="0.3">
      <c r="A229" s="21">
        <v>223</v>
      </c>
      <c r="B229" s="21" t="s">
        <v>317</v>
      </c>
      <c r="C229" s="21">
        <v>235000</v>
      </c>
    </row>
    <row r="230" spans="1:3" x14ac:dyDescent="0.3">
      <c r="A230" s="21">
        <v>224</v>
      </c>
      <c r="B230" s="21" t="s">
        <v>318</v>
      </c>
      <c r="C230" s="21">
        <v>215000</v>
      </c>
    </row>
    <row r="231" spans="1:3" x14ac:dyDescent="0.3">
      <c r="A231" s="21">
        <v>225</v>
      </c>
      <c r="B231" s="21" t="s">
        <v>319</v>
      </c>
      <c r="C231" s="21">
        <v>215000</v>
      </c>
    </row>
    <row r="232" spans="1:3" x14ac:dyDescent="0.3">
      <c r="A232" s="21">
        <v>226</v>
      </c>
      <c r="B232" s="21" t="s">
        <v>320</v>
      </c>
      <c r="C232" s="21">
        <v>212500</v>
      </c>
    </row>
    <row r="233" spans="1:3" x14ac:dyDescent="0.3">
      <c r="A233" s="21">
        <v>227</v>
      </c>
      <c r="B233" s="21" t="s">
        <v>321</v>
      </c>
      <c r="C233" s="21">
        <v>210000</v>
      </c>
    </row>
    <row r="234" spans="1:3" x14ac:dyDescent="0.3">
      <c r="A234" s="21">
        <v>228</v>
      </c>
      <c r="B234" s="21" t="s">
        <v>322</v>
      </c>
      <c r="C234" s="21">
        <v>207500</v>
      </c>
    </row>
    <row r="235" spans="1:3" x14ac:dyDescent="0.3">
      <c r="A235" s="21">
        <v>229</v>
      </c>
      <c r="B235" s="21" t="s">
        <v>323</v>
      </c>
      <c r="C235" s="21">
        <v>205000</v>
      </c>
    </row>
    <row r="236" spans="1:3" x14ac:dyDescent="0.3">
      <c r="A236" s="21">
        <v>230</v>
      </c>
      <c r="B236" s="21" t="s">
        <v>324</v>
      </c>
      <c r="C236" s="21">
        <v>200000</v>
      </c>
    </row>
    <row r="237" spans="1:3" x14ac:dyDescent="0.3">
      <c r="A237" s="21">
        <v>231</v>
      </c>
      <c r="B237" s="21" t="s">
        <v>325</v>
      </c>
      <c r="C237" s="21">
        <v>200000</v>
      </c>
    </row>
    <row r="238" spans="1:3" x14ac:dyDescent="0.3">
      <c r="A238" s="21">
        <v>232</v>
      </c>
      <c r="B238" s="21" t="s">
        <v>326</v>
      </c>
      <c r="C238" s="21">
        <v>12600000</v>
      </c>
    </row>
    <row r="239" spans="1:3" x14ac:dyDescent="0.3">
      <c r="A239" s="21">
        <v>233</v>
      </c>
      <c r="B239" s="21" t="s">
        <v>327</v>
      </c>
      <c r="C239" s="21">
        <v>12357143</v>
      </c>
    </row>
    <row r="240" spans="1:3" x14ac:dyDescent="0.3">
      <c r="A240" s="21">
        <v>234</v>
      </c>
      <c r="B240" s="21" t="s">
        <v>328</v>
      </c>
      <c r="C240" s="21">
        <v>10300000</v>
      </c>
    </row>
    <row r="241" spans="1:3" x14ac:dyDescent="0.3">
      <c r="A241" s="21">
        <v>235</v>
      </c>
      <c r="B241" s="21" t="s">
        <v>329</v>
      </c>
      <c r="C241" s="21">
        <v>10000000</v>
      </c>
    </row>
    <row r="242" spans="1:3" x14ac:dyDescent="0.3">
      <c r="A242" s="21">
        <v>236</v>
      </c>
      <c r="B242" s="21" t="s">
        <v>330</v>
      </c>
      <c r="C242" s="21">
        <v>9150000</v>
      </c>
    </row>
    <row r="243" spans="1:3" x14ac:dyDescent="0.3">
      <c r="A243" s="21">
        <v>237</v>
      </c>
      <c r="B243" s="21" t="s">
        <v>331</v>
      </c>
      <c r="C243" s="21">
        <v>7000000</v>
      </c>
    </row>
    <row r="244" spans="1:3" x14ac:dyDescent="0.3">
      <c r="A244" s="21">
        <v>238</v>
      </c>
      <c r="B244" s="21" t="s">
        <v>332</v>
      </c>
      <c r="C244" s="21">
        <v>7000000</v>
      </c>
    </row>
    <row r="245" spans="1:3" x14ac:dyDescent="0.3">
      <c r="A245" s="21">
        <v>239</v>
      </c>
      <c r="B245" s="21" t="s">
        <v>333</v>
      </c>
      <c r="C245" s="21">
        <v>6500000</v>
      </c>
    </row>
    <row r="246" spans="1:3" x14ac:dyDescent="0.3">
      <c r="A246" s="21">
        <v>240</v>
      </c>
      <c r="B246" s="21" t="s">
        <v>334</v>
      </c>
      <c r="C246" s="21">
        <v>6000000</v>
      </c>
    </row>
    <row r="247" spans="1:3" x14ac:dyDescent="0.3">
      <c r="A247" s="21">
        <v>241</v>
      </c>
      <c r="B247" s="21" t="s">
        <v>335</v>
      </c>
      <c r="C247" s="21">
        <v>6000000</v>
      </c>
    </row>
    <row r="248" spans="1:3" x14ac:dyDescent="0.3">
      <c r="A248" s="21">
        <v>242</v>
      </c>
      <c r="B248" s="21" t="s">
        <v>336</v>
      </c>
      <c r="C248" s="21">
        <v>5250000</v>
      </c>
    </row>
    <row r="249" spans="1:3" x14ac:dyDescent="0.3">
      <c r="A249" s="21">
        <v>243</v>
      </c>
      <c r="B249" s="21" t="s">
        <v>337</v>
      </c>
      <c r="C249" s="21">
        <v>4050000</v>
      </c>
    </row>
    <row r="250" spans="1:3" x14ac:dyDescent="0.3">
      <c r="A250" s="21">
        <v>244</v>
      </c>
      <c r="B250" s="21" t="s">
        <v>338</v>
      </c>
      <c r="C250" s="21">
        <v>2450000</v>
      </c>
    </row>
    <row r="251" spans="1:3" x14ac:dyDescent="0.3">
      <c r="A251" s="21">
        <v>245</v>
      </c>
      <c r="B251" s="21" t="s">
        <v>339</v>
      </c>
      <c r="C251" s="21">
        <v>2050000</v>
      </c>
    </row>
    <row r="252" spans="1:3" x14ac:dyDescent="0.3">
      <c r="A252" s="21">
        <v>246</v>
      </c>
      <c r="B252" s="21" t="s">
        <v>340</v>
      </c>
      <c r="C252" s="21">
        <v>1700000</v>
      </c>
    </row>
    <row r="253" spans="1:3" x14ac:dyDescent="0.3">
      <c r="A253" s="21">
        <v>247</v>
      </c>
      <c r="B253" s="21" t="s">
        <v>341</v>
      </c>
      <c r="C253" s="21">
        <v>1600000</v>
      </c>
    </row>
    <row r="254" spans="1:3" x14ac:dyDescent="0.3">
      <c r="A254" s="21">
        <v>248</v>
      </c>
      <c r="B254" s="21" t="s">
        <v>342</v>
      </c>
      <c r="C254" s="21">
        <v>1100000</v>
      </c>
    </row>
    <row r="255" spans="1:3" x14ac:dyDescent="0.3">
      <c r="A255" s="21">
        <v>249</v>
      </c>
      <c r="B255" s="21" t="s">
        <v>343</v>
      </c>
      <c r="C255" s="21">
        <v>850000</v>
      </c>
    </row>
    <row r="256" spans="1:3" x14ac:dyDescent="0.3">
      <c r="A256" s="21">
        <v>250</v>
      </c>
      <c r="B256" s="21" t="s">
        <v>344</v>
      </c>
      <c r="C256" s="21">
        <v>630000</v>
      </c>
    </row>
    <row r="257" spans="1:3" x14ac:dyDescent="0.3">
      <c r="A257" s="21">
        <v>251</v>
      </c>
      <c r="B257" s="21" t="s">
        <v>345</v>
      </c>
      <c r="C257" s="21">
        <v>500000</v>
      </c>
    </row>
    <row r="258" spans="1:3" x14ac:dyDescent="0.3">
      <c r="A258" s="21">
        <v>252</v>
      </c>
      <c r="B258" s="21" t="s">
        <v>346</v>
      </c>
      <c r="C258" s="21">
        <v>350000</v>
      </c>
    </row>
    <row r="259" spans="1:3" x14ac:dyDescent="0.3">
      <c r="A259" s="21">
        <v>253</v>
      </c>
      <c r="B259" s="21" t="s">
        <v>347</v>
      </c>
      <c r="C259" s="21">
        <v>320000</v>
      </c>
    </row>
    <row r="260" spans="1:3" x14ac:dyDescent="0.3">
      <c r="A260" s="21">
        <v>254</v>
      </c>
      <c r="B260" s="21" t="s">
        <v>348</v>
      </c>
      <c r="C260" s="21">
        <v>320000</v>
      </c>
    </row>
    <row r="261" spans="1:3" x14ac:dyDescent="0.3">
      <c r="A261" s="21">
        <v>255</v>
      </c>
      <c r="B261" s="21" t="s">
        <v>349</v>
      </c>
      <c r="C261" s="21">
        <v>270000</v>
      </c>
    </row>
    <row r="262" spans="1:3" x14ac:dyDescent="0.3">
      <c r="A262" s="21">
        <v>256</v>
      </c>
      <c r="B262" s="21" t="s">
        <v>350</v>
      </c>
      <c r="C262" s="21">
        <v>230000</v>
      </c>
    </row>
    <row r="263" spans="1:3" x14ac:dyDescent="0.3">
      <c r="A263" s="21">
        <v>257</v>
      </c>
      <c r="B263" s="21" t="s">
        <v>351</v>
      </c>
      <c r="C263" s="21">
        <v>206000</v>
      </c>
    </row>
    <row r="264" spans="1:3" x14ac:dyDescent="0.3">
      <c r="A264" s="21">
        <v>258</v>
      </c>
      <c r="B264" s="21" t="s">
        <v>352</v>
      </c>
      <c r="C264" s="21">
        <v>204750</v>
      </c>
    </row>
    <row r="265" spans="1:3" x14ac:dyDescent="0.3">
      <c r="A265" s="21">
        <v>259</v>
      </c>
      <c r="B265" s="21" t="s">
        <v>353</v>
      </c>
      <c r="C265" s="21">
        <v>204000</v>
      </c>
    </row>
    <row r="266" spans="1:3" x14ac:dyDescent="0.3">
      <c r="A266" s="21">
        <v>260</v>
      </c>
      <c r="B266" s="21" t="s">
        <v>354</v>
      </c>
      <c r="C266" s="21">
        <v>200000</v>
      </c>
    </row>
    <row r="267" spans="1:3" x14ac:dyDescent="0.3">
      <c r="A267" s="21">
        <v>261</v>
      </c>
      <c r="B267" s="21" t="s">
        <v>355</v>
      </c>
      <c r="C267" s="21">
        <v>200000</v>
      </c>
    </row>
    <row r="268" spans="1:3" x14ac:dyDescent="0.3">
      <c r="A268" s="21">
        <v>262</v>
      </c>
      <c r="B268" s="21" t="s">
        <v>356</v>
      </c>
      <c r="C268" s="21">
        <v>200000</v>
      </c>
    </row>
    <row r="269" spans="1:3" x14ac:dyDescent="0.3">
      <c r="A269" s="21">
        <v>263</v>
      </c>
      <c r="B269" s="21" t="s">
        <v>357</v>
      </c>
      <c r="C269" s="21">
        <v>7100000</v>
      </c>
    </row>
    <row r="270" spans="1:3" x14ac:dyDescent="0.3">
      <c r="A270" s="21">
        <v>264</v>
      </c>
      <c r="B270" s="21" t="s">
        <v>358</v>
      </c>
      <c r="C270" s="21">
        <v>4103333</v>
      </c>
    </row>
    <row r="271" spans="1:3" x14ac:dyDescent="0.3">
      <c r="A271" s="21">
        <v>265</v>
      </c>
      <c r="B271" s="21" t="s">
        <v>359</v>
      </c>
      <c r="C271" s="21">
        <v>3300000</v>
      </c>
    </row>
    <row r="272" spans="1:3" x14ac:dyDescent="0.3">
      <c r="A272" s="21">
        <v>266</v>
      </c>
      <c r="B272" s="21" t="s">
        <v>360</v>
      </c>
      <c r="C272" s="21">
        <v>3300000</v>
      </c>
    </row>
    <row r="273" spans="1:3" x14ac:dyDescent="0.3">
      <c r="A273" s="21">
        <v>267</v>
      </c>
      <c r="B273" s="21" t="s">
        <v>361</v>
      </c>
      <c r="C273" s="21">
        <v>3250000</v>
      </c>
    </row>
    <row r="274" spans="1:3" x14ac:dyDescent="0.3">
      <c r="A274" s="21">
        <v>268</v>
      </c>
      <c r="B274" s="21" t="s">
        <v>362</v>
      </c>
      <c r="C274" s="21">
        <v>2025000</v>
      </c>
    </row>
    <row r="275" spans="1:3" x14ac:dyDescent="0.3">
      <c r="A275" s="21">
        <v>269</v>
      </c>
      <c r="B275" s="21" t="s">
        <v>363</v>
      </c>
      <c r="C275" s="21">
        <v>1900000</v>
      </c>
    </row>
    <row r="276" spans="1:3" x14ac:dyDescent="0.3">
      <c r="A276" s="21">
        <v>270</v>
      </c>
      <c r="B276" s="21" t="s">
        <v>364</v>
      </c>
      <c r="C276" s="21">
        <v>1800000</v>
      </c>
    </row>
    <row r="277" spans="1:3" x14ac:dyDescent="0.3">
      <c r="A277" s="21">
        <v>271</v>
      </c>
      <c r="B277" s="21" t="s">
        <v>365</v>
      </c>
      <c r="C277" s="21">
        <v>1116667</v>
      </c>
    </row>
    <row r="278" spans="1:3" x14ac:dyDescent="0.3">
      <c r="A278" s="21">
        <v>272</v>
      </c>
      <c r="B278" s="21" t="s">
        <v>366</v>
      </c>
      <c r="C278" s="21">
        <v>900000</v>
      </c>
    </row>
    <row r="279" spans="1:3" x14ac:dyDescent="0.3">
      <c r="A279" s="21">
        <v>273</v>
      </c>
      <c r="B279" s="21" t="s">
        <v>367</v>
      </c>
      <c r="C279" s="21">
        <v>625000</v>
      </c>
    </row>
    <row r="280" spans="1:3" x14ac:dyDescent="0.3">
      <c r="A280" s="21">
        <v>274</v>
      </c>
      <c r="B280" s="21" t="s">
        <v>368</v>
      </c>
      <c r="C280" s="21">
        <v>525000</v>
      </c>
    </row>
    <row r="281" spans="1:3" x14ac:dyDescent="0.3">
      <c r="A281" s="21">
        <v>275</v>
      </c>
      <c r="B281" s="21" t="s">
        <v>369</v>
      </c>
      <c r="C281" s="21">
        <v>375000</v>
      </c>
    </row>
    <row r="282" spans="1:3" x14ac:dyDescent="0.3">
      <c r="A282" s="21">
        <v>276</v>
      </c>
      <c r="B282" s="21" t="s">
        <v>370</v>
      </c>
      <c r="C282" s="21">
        <v>350000</v>
      </c>
    </row>
    <row r="283" spans="1:3" x14ac:dyDescent="0.3">
      <c r="A283" s="21">
        <v>277</v>
      </c>
      <c r="B283" s="21" t="s">
        <v>371</v>
      </c>
      <c r="C283" s="21">
        <v>290000</v>
      </c>
    </row>
    <row r="284" spans="1:3" x14ac:dyDescent="0.3">
      <c r="A284" s="21">
        <v>278</v>
      </c>
      <c r="B284" s="21" t="s">
        <v>372</v>
      </c>
      <c r="C284" s="21">
        <v>290000</v>
      </c>
    </row>
    <row r="285" spans="1:3" x14ac:dyDescent="0.3">
      <c r="A285" s="21">
        <v>279</v>
      </c>
      <c r="B285" s="21" t="s">
        <v>373</v>
      </c>
      <c r="C285" s="21">
        <v>282500</v>
      </c>
    </row>
    <row r="286" spans="1:3" x14ac:dyDescent="0.3">
      <c r="A286" s="21">
        <v>280</v>
      </c>
      <c r="B286" s="21" t="s">
        <v>374</v>
      </c>
      <c r="C286" s="21">
        <v>267500</v>
      </c>
    </row>
    <row r="287" spans="1:3" x14ac:dyDescent="0.3">
      <c r="A287" s="21">
        <v>281</v>
      </c>
      <c r="B287" s="21" t="s">
        <v>375</v>
      </c>
      <c r="C287" s="21">
        <v>245000</v>
      </c>
    </row>
    <row r="288" spans="1:3" x14ac:dyDescent="0.3">
      <c r="A288" s="21">
        <v>282</v>
      </c>
      <c r="B288" s="21" t="s">
        <v>376</v>
      </c>
      <c r="C288" s="21">
        <v>240750</v>
      </c>
    </row>
    <row r="289" spans="1:3" x14ac:dyDescent="0.3">
      <c r="A289" s="21">
        <v>283</v>
      </c>
      <c r="B289" s="21" t="s">
        <v>377</v>
      </c>
      <c r="C289" s="21">
        <v>240000</v>
      </c>
    </row>
    <row r="290" spans="1:3" x14ac:dyDescent="0.3">
      <c r="A290" s="21">
        <v>284</v>
      </c>
      <c r="B290" s="21" t="s">
        <v>378</v>
      </c>
      <c r="C290" s="21">
        <v>232500</v>
      </c>
    </row>
    <row r="291" spans="1:3" x14ac:dyDescent="0.3">
      <c r="A291" s="21">
        <v>285</v>
      </c>
      <c r="B291" s="21" t="s">
        <v>379</v>
      </c>
      <c r="C291" s="21">
        <v>225000</v>
      </c>
    </row>
    <row r="292" spans="1:3" x14ac:dyDescent="0.3">
      <c r="A292" s="21">
        <v>286</v>
      </c>
      <c r="B292" s="21" t="s">
        <v>380</v>
      </c>
      <c r="C292" s="21">
        <v>217500</v>
      </c>
    </row>
    <row r="293" spans="1:3" x14ac:dyDescent="0.3">
      <c r="A293" s="21">
        <v>287</v>
      </c>
      <c r="B293" s="21" t="s">
        <v>381</v>
      </c>
      <c r="C293" s="21">
        <v>205000</v>
      </c>
    </row>
    <row r="294" spans="1:3" x14ac:dyDescent="0.3">
      <c r="A294" s="21">
        <v>288</v>
      </c>
      <c r="B294" s="21" t="s">
        <v>382</v>
      </c>
      <c r="C294" s="21">
        <v>204000</v>
      </c>
    </row>
    <row r="295" spans="1:3" x14ac:dyDescent="0.3">
      <c r="A295" s="21">
        <v>289</v>
      </c>
      <c r="B295" s="21" t="s">
        <v>383</v>
      </c>
      <c r="C295" s="21">
        <v>201000</v>
      </c>
    </row>
    <row r="296" spans="1:3" x14ac:dyDescent="0.3">
      <c r="A296" s="21">
        <v>290</v>
      </c>
      <c r="B296" s="21" t="s">
        <v>384</v>
      </c>
      <c r="C296" s="21">
        <v>7500000</v>
      </c>
    </row>
    <row r="297" spans="1:3" x14ac:dyDescent="0.3">
      <c r="A297" s="21">
        <v>291</v>
      </c>
      <c r="B297" s="21" t="s">
        <v>385</v>
      </c>
      <c r="C297" s="21">
        <v>6700000</v>
      </c>
    </row>
    <row r="298" spans="1:3" x14ac:dyDescent="0.3">
      <c r="A298" s="21">
        <v>292</v>
      </c>
      <c r="B298" s="21" t="s">
        <v>386</v>
      </c>
      <c r="C298" s="21">
        <v>6500000</v>
      </c>
    </row>
    <row r="299" spans="1:3" x14ac:dyDescent="0.3">
      <c r="A299" s="21">
        <v>293</v>
      </c>
      <c r="B299" s="21" t="s">
        <v>387</v>
      </c>
      <c r="C299" s="21">
        <v>5695000</v>
      </c>
    </row>
    <row r="300" spans="1:3" x14ac:dyDescent="0.3">
      <c r="A300" s="21">
        <v>294</v>
      </c>
      <c r="B300" s="21" t="s">
        <v>388</v>
      </c>
      <c r="C300" s="21">
        <v>5500000</v>
      </c>
    </row>
    <row r="301" spans="1:3" x14ac:dyDescent="0.3">
      <c r="A301" s="21">
        <v>295</v>
      </c>
      <c r="B301" s="21" t="s">
        <v>389</v>
      </c>
      <c r="C301" s="21">
        <v>5070000</v>
      </c>
    </row>
    <row r="302" spans="1:3" x14ac:dyDescent="0.3">
      <c r="A302" s="21">
        <v>296</v>
      </c>
      <c r="B302" s="21" t="s">
        <v>390</v>
      </c>
      <c r="C302" s="21">
        <v>5000000</v>
      </c>
    </row>
    <row r="303" spans="1:3" x14ac:dyDescent="0.3">
      <c r="A303" s="21">
        <v>297</v>
      </c>
      <c r="B303" s="21" t="s">
        <v>391</v>
      </c>
      <c r="C303" s="21">
        <v>4400000</v>
      </c>
    </row>
    <row r="304" spans="1:3" x14ac:dyDescent="0.3">
      <c r="A304" s="21">
        <v>298</v>
      </c>
      <c r="B304" s="21" t="s">
        <v>392</v>
      </c>
      <c r="C304" s="21">
        <v>3416667</v>
      </c>
    </row>
    <row r="305" spans="1:3" x14ac:dyDescent="0.3">
      <c r="A305" s="21">
        <v>299</v>
      </c>
      <c r="B305" s="21" t="s">
        <v>393</v>
      </c>
      <c r="C305" s="21">
        <v>3333333</v>
      </c>
    </row>
    <row r="306" spans="1:3" x14ac:dyDescent="0.3">
      <c r="A306" s="21">
        <v>300</v>
      </c>
      <c r="B306" s="21" t="s">
        <v>394</v>
      </c>
      <c r="C306" s="21">
        <v>3250000</v>
      </c>
    </row>
    <row r="307" spans="1:3" x14ac:dyDescent="0.3">
      <c r="A307" s="21">
        <v>301</v>
      </c>
      <c r="B307" s="21" t="s">
        <v>395</v>
      </c>
      <c r="C307" s="21">
        <v>3250000</v>
      </c>
    </row>
    <row r="308" spans="1:3" x14ac:dyDescent="0.3">
      <c r="A308" s="21">
        <v>302</v>
      </c>
      <c r="B308" s="21" t="s">
        <v>396</v>
      </c>
      <c r="C308" s="21">
        <v>2200000</v>
      </c>
    </row>
    <row r="309" spans="1:3" x14ac:dyDescent="0.3">
      <c r="A309" s="21">
        <v>303</v>
      </c>
      <c r="B309" s="21" t="s">
        <v>397</v>
      </c>
      <c r="C309" s="21">
        <v>2000000</v>
      </c>
    </row>
    <row r="310" spans="1:3" x14ac:dyDescent="0.3">
      <c r="A310" s="21">
        <v>304</v>
      </c>
      <c r="B310" s="21" t="s">
        <v>398</v>
      </c>
      <c r="C310" s="21">
        <v>1850000</v>
      </c>
    </row>
    <row r="311" spans="1:3" x14ac:dyDescent="0.3">
      <c r="A311" s="21">
        <v>305</v>
      </c>
      <c r="B311" s="21" t="s">
        <v>399</v>
      </c>
      <c r="C311" s="21">
        <v>1700000</v>
      </c>
    </row>
    <row r="312" spans="1:3" x14ac:dyDescent="0.3">
      <c r="A312" s="21">
        <v>306</v>
      </c>
      <c r="B312" s="21" t="s">
        <v>400</v>
      </c>
      <c r="C312" s="21">
        <v>1700000</v>
      </c>
    </row>
    <row r="313" spans="1:3" x14ac:dyDescent="0.3">
      <c r="A313" s="21">
        <v>307</v>
      </c>
      <c r="B313" s="21" t="s">
        <v>401</v>
      </c>
      <c r="C313" s="21">
        <v>1500000</v>
      </c>
    </row>
    <row r="314" spans="1:3" x14ac:dyDescent="0.3">
      <c r="A314" s="21">
        <v>308</v>
      </c>
      <c r="B314" s="21" t="s">
        <v>402</v>
      </c>
      <c r="C314" s="21">
        <v>1100000</v>
      </c>
    </row>
    <row r="315" spans="1:3" x14ac:dyDescent="0.3">
      <c r="A315" s="21">
        <v>309</v>
      </c>
      <c r="B315" s="21" t="s">
        <v>403</v>
      </c>
      <c r="C315" s="21">
        <v>1100000</v>
      </c>
    </row>
    <row r="316" spans="1:3" x14ac:dyDescent="0.3">
      <c r="A316" s="21">
        <v>310</v>
      </c>
      <c r="B316" s="21" t="s">
        <v>404</v>
      </c>
      <c r="C316" s="21">
        <v>837500</v>
      </c>
    </row>
    <row r="317" spans="1:3" x14ac:dyDescent="0.3">
      <c r="A317" s="21">
        <v>311</v>
      </c>
      <c r="B317" s="21" t="s">
        <v>405</v>
      </c>
      <c r="C317" s="21">
        <v>425000</v>
      </c>
    </row>
    <row r="318" spans="1:3" x14ac:dyDescent="0.3">
      <c r="A318" s="21">
        <v>312</v>
      </c>
      <c r="B318" s="21" t="s">
        <v>406</v>
      </c>
      <c r="C318" s="21">
        <v>425000</v>
      </c>
    </row>
    <row r="319" spans="1:3" x14ac:dyDescent="0.3">
      <c r="A319" s="21">
        <v>313</v>
      </c>
      <c r="B319" s="21" t="s">
        <v>407</v>
      </c>
      <c r="C319" s="21">
        <v>285000</v>
      </c>
    </row>
    <row r="320" spans="1:3" x14ac:dyDescent="0.3">
      <c r="A320" s="21">
        <v>314</v>
      </c>
      <c r="B320" s="21" t="s">
        <v>408</v>
      </c>
      <c r="C320" s="21">
        <v>275000</v>
      </c>
    </row>
    <row r="321" spans="1:3" x14ac:dyDescent="0.3">
      <c r="A321" s="21">
        <v>315</v>
      </c>
      <c r="B321" s="21" t="s">
        <v>409</v>
      </c>
      <c r="C321" s="21">
        <v>235000</v>
      </c>
    </row>
    <row r="322" spans="1:3" x14ac:dyDescent="0.3">
      <c r="A322" s="21">
        <v>316</v>
      </c>
      <c r="B322" s="21" t="s">
        <v>410</v>
      </c>
      <c r="C322" s="21">
        <v>202500</v>
      </c>
    </row>
    <row r="323" spans="1:3" x14ac:dyDescent="0.3">
      <c r="A323" s="21">
        <v>317</v>
      </c>
      <c r="B323" s="21" t="s">
        <v>411</v>
      </c>
      <c r="C323" s="21">
        <v>202500</v>
      </c>
    </row>
    <row r="324" spans="1:3" x14ac:dyDescent="0.3">
      <c r="A324" s="21">
        <v>318</v>
      </c>
      <c r="B324" s="21" t="s">
        <v>412</v>
      </c>
      <c r="C324" s="21">
        <v>9000000</v>
      </c>
    </row>
    <row r="325" spans="1:3" x14ac:dyDescent="0.3">
      <c r="A325" s="21">
        <v>319</v>
      </c>
      <c r="B325" s="21" t="s">
        <v>413</v>
      </c>
      <c r="C325" s="21">
        <v>7479409</v>
      </c>
    </row>
    <row r="326" spans="1:3" x14ac:dyDescent="0.3">
      <c r="A326" s="21">
        <v>320</v>
      </c>
      <c r="B326" s="21" t="s">
        <v>414</v>
      </c>
      <c r="C326" s="21">
        <v>7250000</v>
      </c>
    </row>
    <row r="327" spans="1:3" x14ac:dyDescent="0.3">
      <c r="A327" s="21">
        <v>321</v>
      </c>
      <c r="B327" s="21" t="s">
        <v>415</v>
      </c>
      <c r="C327" s="21">
        <v>5973991</v>
      </c>
    </row>
    <row r="328" spans="1:3" x14ac:dyDescent="0.3">
      <c r="A328" s="21">
        <v>322</v>
      </c>
      <c r="B328" s="21" t="s">
        <v>416</v>
      </c>
      <c r="C328" s="21">
        <v>5620316</v>
      </c>
    </row>
    <row r="329" spans="1:3" x14ac:dyDescent="0.3">
      <c r="A329" s="21">
        <v>323</v>
      </c>
      <c r="B329" s="21" t="s">
        <v>417</v>
      </c>
      <c r="C329" s="21">
        <v>2975000</v>
      </c>
    </row>
    <row r="330" spans="1:3" x14ac:dyDescent="0.3">
      <c r="A330" s="21">
        <v>324</v>
      </c>
      <c r="B330" s="21" t="s">
        <v>418</v>
      </c>
      <c r="C330" s="21">
        <v>2873439</v>
      </c>
    </row>
    <row r="331" spans="1:3" x14ac:dyDescent="0.3">
      <c r="A331" s="21">
        <v>325</v>
      </c>
      <c r="B331" s="21" t="s">
        <v>419</v>
      </c>
      <c r="C331" s="21">
        <v>2750000</v>
      </c>
    </row>
    <row r="332" spans="1:3" x14ac:dyDescent="0.3">
      <c r="A332" s="21">
        <v>326</v>
      </c>
      <c r="B332" s="21" t="s">
        <v>420</v>
      </c>
      <c r="C332" s="21">
        <v>2724447</v>
      </c>
    </row>
    <row r="333" spans="1:3" x14ac:dyDescent="0.3">
      <c r="A333" s="21">
        <v>327</v>
      </c>
      <c r="B333" s="21" t="s">
        <v>421</v>
      </c>
      <c r="C333" s="21">
        <v>1400000</v>
      </c>
    </row>
    <row r="334" spans="1:3" x14ac:dyDescent="0.3">
      <c r="A334" s="21">
        <v>328</v>
      </c>
      <c r="B334" s="21" t="s">
        <v>422</v>
      </c>
      <c r="C334" s="21">
        <v>975000</v>
      </c>
    </row>
    <row r="335" spans="1:3" x14ac:dyDescent="0.3">
      <c r="A335" s="21">
        <v>329</v>
      </c>
      <c r="B335" s="21" t="s">
        <v>423</v>
      </c>
      <c r="C335" s="21">
        <v>835000</v>
      </c>
    </row>
    <row r="336" spans="1:3" x14ac:dyDescent="0.3">
      <c r="A336" s="21">
        <v>330</v>
      </c>
      <c r="B336" s="21" t="s">
        <v>424</v>
      </c>
      <c r="C336" s="21">
        <v>750000</v>
      </c>
    </row>
    <row r="337" spans="1:3" x14ac:dyDescent="0.3">
      <c r="A337" s="21">
        <v>331</v>
      </c>
      <c r="B337" s="21" t="s">
        <v>425</v>
      </c>
      <c r="C337" s="21">
        <v>700000</v>
      </c>
    </row>
    <row r="338" spans="1:3" x14ac:dyDescent="0.3">
      <c r="A338" s="21">
        <v>332</v>
      </c>
      <c r="B338" s="21" t="s">
        <v>426</v>
      </c>
      <c r="C338" s="21">
        <v>650000</v>
      </c>
    </row>
    <row r="339" spans="1:3" x14ac:dyDescent="0.3">
      <c r="A339" s="21">
        <v>333</v>
      </c>
      <c r="B339" s="21" t="s">
        <v>427</v>
      </c>
      <c r="C339" s="21">
        <v>350000</v>
      </c>
    </row>
    <row r="340" spans="1:3" x14ac:dyDescent="0.3">
      <c r="A340" s="21">
        <v>334</v>
      </c>
      <c r="B340" s="21" t="s">
        <v>428</v>
      </c>
      <c r="C340" s="21">
        <v>270000</v>
      </c>
    </row>
    <row r="341" spans="1:3" x14ac:dyDescent="0.3">
      <c r="A341" s="21">
        <v>335</v>
      </c>
      <c r="B341" s="21" t="s">
        <v>429</v>
      </c>
      <c r="C341" s="21">
        <v>260000</v>
      </c>
    </row>
    <row r="342" spans="1:3" x14ac:dyDescent="0.3">
      <c r="A342" s="21">
        <v>336</v>
      </c>
      <c r="B342" s="21" t="s">
        <v>430</v>
      </c>
      <c r="C342" s="21">
        <v>260000</v>
      </c>
    </row>
    <row r="343" spans="1:3" x14ac:dyDescent="0.3">
      <c r="A343" s="21">
        <v>337</v>
      </c>
      <c r="B343" s="21" t="s">
        <v>431</v>
      </c>
      <c r="C343" s="21">
        <v>255000</v>
      </c>
    </row>
    <row r="344" spans="1:3" x14ac:dyDescent="0.3">
      <c r="A344" s="21">
        <v>338</v>
      </c>
      <c r="B344" s="21" t="s">
        <v>432</v>
      </c>
      <c r="C344" s="21">
        <v>255000</v>
      </c>
    </row>
    <row r="345" spans="1:3" x14ac:dyDescent="0.3">
      <c r="A345" s="21">
        <v>339</v>
      </c>
      <c r="B345" s="21" t="s">
        <v>433</v>
      </c>
      <c r="C345" s="21">
        <v>255000</v>
      </c>
    </row>
    <row r="346" spans="1:3" x14ac:dyDescent="0.3">
      <c r="A346" s="21">
        <v>340</v>
      </c>
      <c r="B346" s="21" t="s">
        <v>434</v>
      </c>
      <c r="C346" s="21">
        <v>242500</v>
      </c>
    </row>
    <row r="347" spans="1:3" x14ac:dyDescent="0.3">
      <c r="A347" s="21">
        <v>341</v>
      </c>
      <c r="B347" s="21" t="s">
        <v>435</v>
      </c>
      <c r="C347" s="21">
        <v>237500</v>
      </c>
    </row>
    <row r="348" spans="1:3" x14ac:dyDescent="0.3">
      <c r="A348" s="21">
        <v>342</v>
      </c>
      <c r="B348" s="21" t="s">
        <v>436</v>
      </c>
      <c r="C348" s="21">
        <v>208000</v>
      </c>
    </row>
    <row r="349" spans="1:3" x14ac:dyDescent="0.3">
      <c r="A349" s="21">
        <v>343</v>
      </c>
      <c r="B349" s="21" t="s">
        <v>437</v>
      </c>
      <c r="C349" s="21">
        <v>202000</v>
      </c>
    </row>
    <row r="350" spans="1:3" x14ac:dyDescent="0.3">
      <c r="A350" s="21">
        <v>344</v>
      </c>
      <c r="B350" s="21" t="s">
        <v>438</v>
      </c>
      <c r="C350" s="21">
        <v>200000</v>
      </c>
    </row>
    <row r="351" spans="1:3" x14ac:dyDescent="0.3">
      <c r="A351" s="21">
        <v>345</v>
      </c>
      <c r="B351" s="21" t="s">
        <v>439</v>
      </c>
      <c r="C351" s="21">
        <v>22000000</v>
      </c>
    </row>
    <row r="352" spans="1:3" x14ac:dyDescent="0.3">
      <c r="A352" s="21">
        <v>346</v>
      </c>
      <c r="B352" s="21" t="s">
        <v>440</v>
      </c>
      <c r="C352" s="21">
        <v>8620921</v>
      </c>
    </row>
    <row r="353" spans="1:3" x14ac:dyDescent="0.3">
      <c r="A353" s="21">
        <v>347</v>
      </c>
      <c r="B353" s="21" t="s">
        <v>441</v>
      </c>
      <c r="C353" s="21">
        <v>8600000</v>
      </c>
    </row>
    <row r="354" spans="1:3" x14ac:dyDescent="0.3">
      <c r="A354" s="21">
        <v>348</v>
      </c>
      <c r="B354" s="21" t="s">
        <v>442</v>
      </c>
      <c r="C354" s="21">
        <v>7500000</v>
      </c>
    </row>
    <row r="355" spans="1:3" x14ac:dyDescent="0.3">
      <c r="A355" s="21">
        <v>349</v>
      </c>
      <c r="B355" s="21" t="s">
        <v>443</v>
      </c>
      <c r="C355" s="21">
        <v>7000000</v>
      </c>
    </row>
    <row r="356" spans="1:3" x14ac:dyDescent="0.3">
      <c r="A356" s="21">
        <v>350</v>
      </c>
      <c r="B356" s="21" t="s">
        <v>444</v>
      </c>
      <c r="C356" s="21">
        <v>6000000</v>
      </c>
    </row>
    <row r="357" spans="1:3" x14ac:dyDescent="0.3">
      <c r="A357" s="21">
        <v>351</v>
      </c>
      <c r="B357" s="21" t="s">
        <v>445</v>
      </c>
      <c r="C357" s="21">
        <v>4500000</v>
      </c>
    </row>
    <row r="358" spans="1:3" x14ac:dyDescent="0.3">
      <c r="A358" s="21">
        <v>352</v>
      </c>
      <c r="B358" s="21" t="s">
        <v>446</v>
      </c>
      <c r="C358" s="21">
        <v>4500000</v>
      </c>
    </row>
    <row r="359" spans="1:3" x14ac:dyDescent="0.3">
      <c r="A359" s="21">
        <v>353</v>
      </c>
      <c r="B359" s="21" t="s">
        <v>447</v>
      </c>
      <c r="C359" s="21">
        <v>3250000</v>
      </c>
    </row>
    <row r="360" spans="1:3" x14ac:dyDescent="0.3">
      <c r="A360" s="21">
        <v>354</v>
      </c>
      <c r="B360" s="21" t="s">
        <v>448</v>
      </c>
      <c r="C360" s="21">
        <v>3150000</v>
      </c>
    </row>
    <row r="361" spans="1:3" x14ac:dyDescent="0.3">
      <c r="A361" s="21">
        <v>355</v>
      </c>
      <c r="B361" s="21" t="s">
        <v>449</v>
      </c>
      <c r="C361" s="21">
        <v>2050000</v>
      </c>
    </row>
    <row r="362" spans="1:3" x14ac:dyDescent="0.3">
      <c r="A362" s="21">
        <v>356</v>
      </c>
      <c r="B362" s="21" t="s">
        <v>450</v>
      </c>
      <c r="C362" s="21">
        <v>2000000</v>
      </c>
    </row>
    <row r="363" spans="1:3" x14ac:dyDescent="0.3">
      <c r="A363" s="21">
        <v>357</v>
      </c>
      <c r="B363" s="21" t="s">
        <v>451</v>
      </c>
      <c r="C363" s="21">
        <v>1420000</v>
      </c>
    </row>
    <row r="364" spans="1:3" x14ac:dyDescent="0.3">
      <c r="A364" s="21">
        <v>358</v>
      </c>
      <c r="B364" s="21" t="s">
        <v>452</v>
      </c>
      <c r="C364" s="21">
        <v>1400000</v>
      </c>
    </row>
    <row r="365" spans="1:3" x14ac:dyDescent="0.3">
      <c r="A365" s="21">
        <v>359</v>
      </c>
      <c r="B365" s="21" t="s">
        <v>453</v>
      </c>
      <c r="C365" s="21">
        <v>850000</v>
      </c>
    </row>
    <row r="366" spans="1:3" x14ac:dyDescent="0.3">
      <c r="A366" s="21">
        <v>360</v>
      </c>
      <c r="B366" s="21" t="s">
        <v>454</v>
      </c>
      <c r="C366" s="21">
        <v>800000</v>
      </c>
    </row>
    <row r="367" spans="1:3" x14ac:dyDescent="0.3">
      <c r="A367" s="21">
        <v>361</v>
      </c>
      <c r="B367" s="21" t="s">
        <v>455</v>
      </c>
      <c r="C367" s="21">
        <v>650000</v>
      </c>
    </row>
    <row r="368" spans="1:3" x14ac:dyDescent="0.3">
      <c r="A368" s="21">
        <v>362</v>
      </c>
      <c r="B368" s="21" t="s">
        <v>456</v>
      </c>
      <c r="C368" s="21">
        <v>500000</v>
      </c>
    </row>
    <row r="369" spans="1:3" x14ac:dyDescent="0.3">
      <c r="A369" s="21">
        <v>363</v>
      </c>
      <c r="B369" s="21" t="s">
        <v>457</v>
      </c>
      <c r="C369" s="21">
        <v>450000</v>
      </c>
    </row>
    <row r="370" spans="1:3" x14ac:dyDescent="0.3">
      <c r="A370" s="21">
        <v>364</v>
      </c>
      <c r="B370" s="21" t="s">
        <v>458</v>
      </c>
      <c r="C370" s="21">
        <v>406500</v>
      </c>
    </row>
    <row r="371" spans="1:3" x14ac:dyDescent="0.3">
      <c r="A371" s="21">
        <v>365</v>
      </c>
      <c r="B371" s="21" t="s">
        <v>459</v>
      </c>
      <c r="C371" s="21">
        <v>310000</v>
      </c>
    </row>
    <row r="372" spans="1:3" x14ac:dyDescent="0.3">
      <c r="A372" s="21">
        <v>366</v>
      </c>
      <c r="B372" s="21" t="s">
        <v>460</v>
      </c>
      <c r="C372" s="21">
        <v>307500</v>
      </c>
    </row>
    <row r="373" spans="1:3" x14ac:dyDescent="0.3">
      <c r="A373" s="21">
        <v>367</v>
      </c>
      <c r="B373" s="21" t="s">
        <v>461</v>
      </c>
      <c r="C373" s="21">
        <v>300000</v>
      </c>
    </row>
    <row r="374" spans="1:3" x14ac:dyDescent="0.3">
      <c r="A374" s="21">
        <v>368</v>
      </c>
      <c r="B374" s="21" t="s">
        <v>462</v>
      </c>
      <c r="C374" s="21">
        <v>295000</v>
      </c>
    </row>
    <row r="375" spans="1:3" x14ac:dyDescent="0.3">
      <c r="A375" s="21">
        <v>369</v>
      </c>
      <c r="B375" s="21" t="s">
        <v>463</v>
      </c>
      <c r="C375" s="21">
        <v>277500</v>
      </c>
    </row>
    <row r="376" spans="1:3" x14ac:dyDescent="0.3">
      <c r="A376" s="21">
        <v>370</v>
      </c>
      <c r="B376" s="21" t="s">
        <v>464</v>
      </c>
      <c r="C376" s="21">
        <v>265000</v>
      </c>
    </row>
    <row r="377" spans="1:3" x14ac:dyDescent="0.3">
      <c r="A377" s="21">
        <v>371</v>
      </c>
      <c r="B377" s="21" t="s">
        <v>465</v>
      </c>
      <c r="C377" s="21">
        <v>250000</v>
      </c>
    </row>
    <row r="378" spans="1:3" x14ac:dyDescent="0.3">
      <c r="A378" s="21">
        <v>372</v>
      </c>
      <c r="B378" s="21" t="s">
        <v>466</v>
      </c>
      <c r="C378" s="21">
        <v>240000</v>
      </c>
    </row>
    <row r="379" spans="1:3" x14ac:dyDescent="0.3">
      <c r="A379" s="21">
        <v>373</v>
      </c>
      <c r="B379" s="21" t="s">
        <v>467</v>
      </c>
      <c r="C379" s="21">
        <v>207000</v>
      </c>
    </row>
    <row r="380" spans="1:3" x14ac:dyDescent="0.3">
      <c r="A380" s="21">
        <v>374</v>
      </c>
      <c r="B380" s="21" t="s">
        <v>468</v>
      </c>
      <c r="C380" s="21">
        <v>202500</v>
      </c>
    </row>
    <row r="381" spans="1:3" x14ac:dyDescent="0.3">
      <c r="A381" s="21">
        <v>375</v>
      </c>
      <c r="B381" s="21" t="s">
        <v>469</v>
      </c>
      <c r="C381" s="21">
        <v>202500</v>
      </c>
    </row>
    <row r="382" spans="1:3" x14ac:dyDescent="0.3">
      <c r="A382" s="21">
        <v>376</v>
      </c>
      <c r="B382" s="21" t="s">
        <v>470</v>
      </c>
      <c r="C382" s="21">
        <v>12200000</v>
      </c>
    </row>
    <row r="383" spans="1:3" x14ac:dyDescent="0.3">
      <c r="A383" s="21">
        <v>377</v>
      </c>
      <c r="B383" s="21" t="s">
        <v>471</v>
      </c>
      <c r="C383" s="21">
        <v>11500000</v>
      </c>
    </row>
    <row r="384" spans="1:3" x14ac:dyDescent="0.3">
      <c r="A384" s="21">
        <v>378</v>
      </c>
      <c r="B384" s="21" t="s">
        <v>472</v>
      </c>
      <c r="C384" s="21">
        <v>7250000</v>
      </c>
    </row>
    <row r="385" spans="1:3" x14ac:dyDescent="0.3">
      <c r="A385" s="21">
        <v>379</v>
      </c>
      <c r="B385" s="21" t="s">
        <v>473</v>
      </c>
      <c r="C385" s="21">
        <v>4250000</v>
      </c>
    </row>
    <row r="386" spans="1:3" x14ac:dyDescent="0.3">
      <c r="A386" s="21">
        <v>380</v>
      </c>
      <c r="B386" s="21" t="s">
        <v>474</v>
      </c>
      <c r="C386" s="21">
        <v>3525000</v>
      </c>
    </row>
    <row r="387" spans="1:3" x14ac:dyDescent="0.3">
      <c r="A387" s="21">
        <v>381</v>
      </c>
      <c r="B387" s="21" t="s">
        <v>475</v>
      </c>
      <c r="C387" s="21">
        <v>3300000</v>
      </c>
    </row>
    <row r="388" spans="1:3" x14ac:dyDescent="0.3">
      <c r="A388" s="21">
        <v>382</v>
      </c>
      <c r="B388" s="21" t="s">
        <v>476</v>
      </c>
      <c r="C388" s="21">
        <v>3000000</v>
      </c>
    </row>
    <row r="389" spans="1:3" x14ac:dyDescent="0.3">
      <c r="A389" s="21">
        <v>383</v>
      </c>
      <c r="B389" s="21" t="s">
        <v>477</v>
      </c>
      <c r="C389" s="21">
        <v>2583333</v>
      </c>
    </row>
    <row r="390" spans="1:3" x14ac:dyDescent="0.3">
      <c r="A390" s="21">
        <v>384</v>
      </c>
      <c r="B390" s="21" t="s">
        <v>478</v>
      </c>
      <c r="C390" s="21">
        <v>2550000</v>
      </c>
    </row>
    <row r="391" spans="1:3" x14ac:dyDescent="0.3">
      <c r="A391" s="21">
        <v>385</v>
      </c>
      <c r="B391" s="21" t="s">
        <v>479</v>
      </c>
      <c r="C391" s="21">
        <v>2500000</v>
      </c>
    </row>
    <row r="392" spans="1:3" x14ac:dyDescent="0.3">
      <c r="A392" s="21">
        <v>386</v>
      </c>
      <c r="B392" s="21" t="s">
        <v>480</v>
      </c>
      <c r="C392" s="21">
        <v>2275000</v>
      </c>
    </row>
    <row r="393" spans="1:3" x14ac:dyDescent="0.3">
      <c r="A393" s="21">
        <v>387</v>
      </c>
      <c r="B393" s="21" t="s">
        <v>481</v>
      </c>
      <c r="C393" s="21">
        <v>2200000</v>
      </c>
    </row>
    <row r="394" spans="1:3" x14ac:dyDescent="0.3">
      <c r="A394" s="21">
        <v>388</v>
      </c>
      <c r="B394" s="21" t="s">
        <v>482</v>
      </c>
      <c r="C394" s="21">
        <v>2183333</v>
      </c>
    </row>
    <row r="395" spans="1:3" x14ac:dyDescent="0.3">
      <c r="A395" s="21">
        <v>389</v>
      </c>
      <c r="B395" s="21" t="s">
        <v>483</v>
      </c>
      <c r="C395" s="21">
        <v>2100000</v>
      </c>
    </row>
    <row r="396" spans="1:3" x14ac:dyDescent="0.3">
      <c r="A396" s="21">
        <v>390</v>
      </c>
      <c r="B396" s="21" t="s">
        <v>484</v>
      </c>
      <c r="C396" s="21">
        <v>1550000</v>
      </c>
    </row>
    <row r="397" spans="1:3" x14ac:dyDescent="0.3">
      <c r="A397" s="21">
        <v>391</v>
      </c>
      <c r="B397" s="21" t="s">
        <v>485</v>
      </c>
      <c r="C397" s="21">
        <v>1500000</v>
      </c>
    </row>
    <row r="398" spans="1:3" x14ac:dyDescent="0.3">
      <c r="A398" s="21">
        <v>392</v>
      </c>
      <c r="B398" s="21" t="s">
        <v>486</v>
      </c>
      <c r="C398" s="21">
        <v>1000000</v>
      </c>
    </row>
    <row r="399" spans="1:3" x14ac:dyDescent="0.3">
      <c r="A399" s="21">
        <v>393</v>
      </c>
      <c r="B399" s="21" t="s">
        <v>487</v>
      </c>
      <c r="C399" s="21">
        <v>1000000</v>
      </c>
    </row>
    <row r="400" spans="1:3" x14ac:dyDescent="0.3">
      <c r="A400" s="21">
        <v>394</v>
      </c>
      <c r="B400" s="21" t="s">
        <v>488</v>
      </c>
      <c r="C400" s="21">
        <v>733333</v>
      </c>
    </row>
    <row r="401" spans="1:3" x14ac:dyDescent="0.3">
      <c r="A401" s="21">
        <v>395</v>
      </c>
      <c r="B401" s="21" t="s">
        <v>489</v>
      </c>
      <c r="C401" s="21">
        <v>725000</v>
      </c>
    </row>
    <row r="402" spans="1:3" x14ac:dyDescent="0.3">
      <c r="A402" s="21">
        <v>396</v>
      </c>
      <c r="B402" s="21" t="s">
        <v>490</v>
      </c>
      <c r="C402" s="21">
        <v>225000</v>
      </c>
    </row>
    <row r="403" spans="1:3" x14ac:dyDescent="0.3">
      <c r="A403" s="21">
        <v>397</v>
      </c>
      <c r="B403" s="21" t="s">
        <v>491</v>
      </c>
      <c r="C403" s="21">
        <v>223000</v>
      </c>
    </row>
    <row r="404" spans="1:3" x14ac:dyDescent="0.3">
      <c r="A404" s="21">
        <v>398</v>
      </c>
      <c r="B404" s="21" t="s">
        <v>492</v>
      </c>
      <c r="C404" s="21">
        <v>223000</v>
      </c>
    </row>
    <row r="405" spans="1:3" x14ac:dyDescent="0.3">
      <c r="A405" s="21">
        <v>399</v>
      </c>
      <c r="B405" s="21" t="s">
        <v>493</v>
      </c>
      <c r="C405" s="21">
        <v>202500</v>
      </c>
    </row>
    <row r="406" spans="1:3" x14ac:dyDescent="0.3">
      <c r="A406" s="21">
        <v>400</v>
      </c>
      <c r="B406" s="21" t="s">
        <v>494</v>
      </c>
      <c r="C406" s="21">
        <v>200000</v>
      </c>
    </row>
    <row r="407" spans="1:3" x14ac:dyDescent="0.3">
      <c r="A407" s="21">
        <v>401</v>
      </c>
      <c r="B407" s="21" t="s">
        <v>495</v>
      </c>
      <c r="C407" s="21">
        <v>200000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Ch01-01</vt:lpstr>
      <vt:lpstr>Ch01-02</vt:lpstr>
      <vt:lpstr>Ch02-1</vt:lpstr>
      <vt:lpstr>Ch02-02</vt:lpstr>
      <vt:lpstr>Ch03-01</vt:lpstr>
      <vt:lpstr>Ch04-01</vt:lpstr>
      <vt:lpstr>Ch05-01</vt:lpstr>
      <vt:lpstr>Ch05-02</vt:lpstr>
      <vt:lpstr>Data</vt:lpstr>
      <vt:lpstr>distance</vt:lpstr>
      <vt:lpstr>'Ch05-02'!Growth</vt:lpstr>
      <vt:lpstr>growth</vt:lpstr>
      <vt:lpstr>hours</vt:lpstr>
      <vt:lpstr>LastYear</vt:lpstr>
      <vt:lpstr>Region</vt:lpstr>
      <vt:lpstr>sales</vt:lpstr>
      <vt:lpstr>wage</vt:lpstr>
      <vt:lpstr>Year_1_cash_flow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Triveni Singh</dc:creator>
  <cp:lastModifiedBy>Triveni Singh</cp:lastModifiedBy>
  <dcterms:created xsi:type="dcterms:W3CDTF">2026-02-20T12:43:05Z</dcterms:created>
  <dcterms:modified xsi:type="dcterms:W3CDTF">2026-02-24T10:18:15Z</dcterms:modified>
</cp:coreProperties>
</file>
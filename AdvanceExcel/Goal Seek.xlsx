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13_ncr:1_{A09CBBDB-5E13-42CF-90BD-DB5DDE055EA2}" xr6:coauthVersionLast="47" xr6:coauthVersionMax="47" xr10:uidLastSave="{00000000-0000-0000-0000-000000000000}"/>
  <bookViews>
    <workbookView xWindow="-108" yWindow="-108" windowWidth="23256" windowHeight="13896" activeTab="1" xr2:uid="{50A0CC40-5997-455F-B782-0239D03A3D8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3" hidden="1">Sheet4!$A$1:$B$7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B4" i="5"/>
  <c r="B6" i="4"/>
  <c r="B5" i="4"/>
  <c r="B3" i="4"/>
  <c r="B7" i="4" s="1"/>
  <c r="B2" i="3"/>
  <c r="B4" i="3"/>
  <c r="B10" i="1"/>
  <c r="B5" i="2"/>
  <c r="B7" i="2" s="1"/>
  <c r="B8" i="1"/>
  <c r="B9" i="1" s="1"/>
  <c r="B7" i="1"/>
  <c r="B11" i="1" l="1"/>
</calcChain>
</file>

<file path=xl/sharedStrings.xml><?xml version="1.0" encoding="utf-8"?>
<sst xmlns="http://schemas.openxmlformats.org/spreadsheetml/2006/main" count="49" uniqueCount="39">
  <si>
    <t>Item</t>
  </si>
  <si>
    <t>Value</t>
  </si>
  <si>
    <t>Price</t>
  </si>
  <si>
    <t>Units</t>
  </si>
  <si>
    <t>Variable cost per unit</t>
  </si>
  <si>
    <t>Fixed cost</t>
  </si>
  <si>
    <t>Marketing</t>
  </si>
  <si>
    <t>Revenue</t>
  </si>
  <si>
    <t>Total variable cost</t>
  </si>
  <si>
    <t>Total cost</t>
  </si>
  <si>
    <t>Profit</t>
  </si>
  <si>
    <t>Profit margin</t>
  </si>
  <si>
    <t>Demand</t>
  </si>
  <si>
    <t>Unit Cost</t>
  </si>
  <si>
    <t>Fixed Cost</t>
  </si>
  <si>
    <t>Varible Cost</t>
  </si>
  <si>
    <t>By Changing</t>
  </si>
  <si>
    <t xml:space="preserve">Expected </t>
  </si>
  <si>
    <t xml:space="preserve"> </t>
  </si>
  <si>
    <t>Expected</t>
  </si>
  <si>
    <t>Duration (In Month)</t>
  </si>
  <si>
    <t>Rate of Interest (Monthy)</t>
  </si>
  <si>
    <t>Amount Borroed</t>
  </si>
  <si>
    <t>Monthy Payment</t>
  </si>
  <si>
    <t>Expected Amount</t>
  </si>
  <si>
    <t>Time Ramesh Drive</t>
  </si>
  <si>
    <t>Ramesh Speed</t>
  </si>
  <si>
    <t>Time Sohan Drive</t>
  </si>
  <si>
    <t>Sohan Speed</t>
  </si>
  <si>
    <t>Ramesh Distnace</t>
  </si>
  <si>
    <t>Sohan Distance</t>
  </si>
  <si>
    <t>Difference in Deistance</t>
  </si>
  <si>
    <t>Estimated Value</t>
  </si>
  <si>
    <t>Sohan Started his Jounery after 2 hours of Ramesh , Ramesh Drove with Speed of 64 KMPH both travel same distance</t>
  </si>
  <si>
    <t>Price per Unit</t>
  </si>
  <si>
    <t>Units Sold</t>
  </si>
  <si>
    <t>Fixed Costs</t>
  </si>
  <si>
    <t>Total Profit</t>
  </si>
  <si>
    <t>Want Profit Should be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</si>
</sst>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2" fontId="0" fillId="0" borderId="1" xfId="0" applyNumberFormat="1" applyBorder="1"/>
    <xf numFmtId="8" fontId="0" fillId="0" borderId="1" xfId="0" applyNumberFormat="1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AD04-B8E7-4FF2-851C-F1208A82C39A}">
  <dimension ref="A1:C11"/>
  <sheetViews>
    <sheetView workbookViewId="0">
      <selection activeCell="E14" sqref="E14"/>
    </sheetView>
  </sheetViews>
  <sheetFormatPr defaultRowHeight="14.4" x14ac:dyDescent="0.3"/>
  <cols>
    <col min="1" max="1" width="19.109375" customWidth="1"/>
    <col min="2" max="2" width="12" customWidth="1"/>
    <col min="3" max="3" width="11.44140625" customWidth="1"/>
  </cols>
  <sheetData>
    <row r="1" spans="1:3" x14ac:dyDescent="0.3">
      <c r="A1" s="2" t="s">
        <v>0</v>
      </c>
      <c r="B1" s="2" t="s">
        <v>1</v>
      </c>
    </row>
    <row r="2" spans="1:3" x14ac:dyDescent="0.3">
      <c r="A2" s="1" t="s">
        <v>2</v>
      </c>
      <c r="B2" s="1">
        <v>25</v>
      </c>
    </row>
    <row r="3" spans="1:3" x14ac:dyDescent="0.3">
      <c r="A3" s="1" t="s">
        <v>3</v>
      </c>
      <c r="B3" s="3">
        <v>1140</v>
      </c>
      <c r="C3" s="3" t="s">
        <v>16</v>
      </c>
    </row>
    <row r="4" spans="1:3" x14ac:dyDescent="0.3">
      <c r="A4" s="1" t="s">
        <v>4</v>
      </c>
      <c r="B4" s="1">
        <v>10</v>
      </c>
    </row>
    <row r="5" spans="1:3" x14ac:dyDescent="0.3">
      <c r="A5" s="1" t="s">
        <v>5</v>
      </c>
      <c r="B5" s="1">
        <v>500</v>
      </c>
    </row>
    <row r="6" spans="1:3" x14ac:dyDescent="0.3">
      <c r="A6" s="1" t="s">
        <v>6</v>
      </c>
      <c r="B6" s="1">
        <v>200</v>
      </c>
    </row>
    <row r="7" spans="1:3" x14ac:dyDescent="0.3">
      <c r="A7" s="1" t="s">
        <v>7</v>
      </c>
      <c r="B7" s="1">
        <f>B3*B2</f>
        <v>28500</v>
      </c>
    </row>
    <row r="8" spans="1:3" x14ac:dyDescent="0.3">
      <c r="A8" s="1" t="s">
        <v>8</v>
      </c>
      <c r="B8" s="1">
        <f>B4*B3</f>
        <v>11400</v>
      </c>
    </row>
    <row r="9" spans="1:3" x14ac:dyDescent="0.3">
      <c r="A9" s="1" t="s">
        <v>9</v>
      </c>
      <c r="B9" s="1">
        <f>B8+B6+B5+(B4*B3)</f>
        <v>23500</v>
      </c>
    </row>
    <row r="10" spans="1:3" x14ac:dyDescent="0.3">
      <c r="A10" s="1" t="s">
        <v>10</v>
      </c>
      <c r="B10" s="3">
        <f>B7-B9</f>
        <v>5000</v>
      </c>
      <c r="C10" s="3" t="s">
        <v>19</v>
      </c>
    </row>
    <row r="11" spans="1:3" x14ac:dyDescent="0.3">
      <c r="A11" s="1" t="s">
        <v>11</v>
      </c>
      <c r="B11" s="4">
        <f>B10/B9*100</f>
        <v>21.276595744680851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55A6-7B14-4AA8-99A2-20E40E995A0C}">
  <dimension ref="A1:C7"/>
  <sheetViews>
    <sheetView tabSelected="1" zoomScale="167" zoomScaleNormal="167" workbookViewId="0">
      <selection activeCell="B7" sqref="B7"/>
    </sheetView>
  </sheetViews>
  <sheetFormatPr defaultRowHeight="14.4" x14ac:dyDescent="0.3"/>
  <cols>
    <col min="1" max="1" width="11.109375" customWidth="1"/>
    <col min="3" max="3" width="10.6640625" customWidth="1"/>
  </cols>
  <sheetData>
    <row r="1" spans="1:3" x14ac:dyDescent="0.3">
      <c r="A1" s="1" t="s">
        <v>2</v>
      </c>
      <c r="B1" s="1">
        <v>3</v>
      </c>
    </row>
    <row r="2" spans="1:3" x14ac:dyDescent="0.3">
      <c r="A2" s="1" t="s">
        <v>12</v>
      </c>
      <c r="B2" s="3">
        <v>32525.952941176478</v>
      </c>
      <c r="C2" s="3" t="s">
        <v>16</v>
      </c>
    </row>
    <row r="3" spans="1:3" x14ac:dyDescent="0.3">
      <c r="A3" s="1" t="s">
        <v>13</v>
      </c>
      <c r="B3" s="1">
        <v>0.45</v>
      </c>
    </row>
    <row r="4" spans="1:3" x14ac:dyDescent="0.3">
      <c r="A4" s="1" t="s">
        <v>14</v>
      </c>
      <c r="B4" s="1">
        <v>45000</v>
      </c>
    </row>
    <row r="5" spans="1:3" x14ac:dyDescent="0.3">
      <c r="A5" s="1" t="s">
        <v>7</v>
      </c>
      <c r="B5" s="1">
        <f>B1*B2</f>
        <v>97577.85882352943</v>
      </c>
    </row>
    <row r="6" spans="1:3" x14ac:dyDescent="0.3">
      <c r="A6" s="1" t="s">
        <v>15</v>
      </c>
      <c r="B6" s="1">
        <v>7941.18</v>
      </c>
    </row>
    <row r="7" spans="1:3" x14ac:dyDescent="0.3">
      <c r="A7" s="1" t="s">
        <v>10</v>
      </c>
      <c r="B7" s="3">
        <f>B5-(B6+B4+B2*B3)</f>
        <v>30000.000000000015</v>
      </c>
      <c r="C7" s="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3DB10-173C-4D83-9524-245367274A5D}">
  <dimension ref="A1:C5"/>
  <sheetViews>
    <sheetView workbookViewId="0">
      <selection activeCell="B4" sqref="B4"/>
    </sheetView>
  </sheetViews>
  <sheetFormatPr defaultRowHeight="14.4" x14ac:dyDescent="0.3"/>
  <cols>
    <col min="1" max="1" width="22.21875" customWidth="1"/>
    <col min="2" max="2" width="11.109375" bestFit="1" customWidth="1"/>
    <col min="3" max="3" width="16.5546875" customWidth="1"/>
  </cols>
  <sheetData>
    <row r="1" spans="1:3" x14ac:dyDescent="0.3">
      <c r="A1" s="1" t="s">
        <v>20</v>
      </c>
      <c r="B1" s="1">
        <v>180</v>
      </c>
      <c r="C1" s="3" t="s">
        <v>16</v>
      </c>
    </row>
    <row r="2" spans="1:3" x14ac:dyDescent="0.3">
      <c r="A2" s="1" t="s">
        <v>21</v>
      </c>
      <c r="B2" s="1">
        <f>12/100</f>
        <v>0.12</v>
      </c>
    </row>
    <row r="3" spans="1:3" x14ac:dyDescent="0.3">
      <c r="A3" s="1" t="s">
        <v>22</v>
      </c>
      <c r="B3" s="1">
        <v>2500000</v>
      </c>
    </row>
    <row r="4" spans="1:3" x14ac:dyDescent="0.3">
      <c r="A4" s="1" t="s">
        <v>23</v>
      </c>
      <c r="B4" s="5">
        <f>PMT(B2/12,B1,B3)</f>
        <v>-30004.201552287839</v>
      </c>
      <c r="C4" s="3" t="s">
        <v>24</v>
      </c>
    </row>
    <row r="5" spans="1:3" x14ac:dyDescent="0.3">
      <c r="C5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F7EE-7861-4AE4-BBF8-349F39B768A3}">
  <dimension ref="A1:C10"/>
  <sheetViews>
    <sheetView workbookViewId="0">
      <selection activeCell="C10" sqref="C10"/>
    </sheetView>
  </sheetViews>
  <sheetFormatPr defaultRowHeight="14.4" x14ac:dyDescent="0.3"/>
  <cols>
    <col min="1" max="1" width="22.21875" customWidth="1"/>
    <col min="3" max="3" width="18" customWidth="1"/>
  </cols>
  <sheetData>
    <row r="1" spans="1:3" x14ac:dyDescent="0.3">
      <c r="A1" s="1" t="s">
        <v>25</v>
      </c>
      <c r="B1" s="1">
        <v>9.9999999999999964</v>
      </c>
      <c r="C1" s="3" t="s">
        <v>16</v>
      </c>
    </row>
    <row r="2" spans="1:3" x14ac:dyDescent="0.3">
      <c r="A2" s="1" t="s">
        <v>26</v>
      </c>
      <c r="B2" s="1">
        <v>64</v>
      </c>
      <c r="C2" s="1"/>
    </row>
    <row r="3" spans="1:3" x14ac:dyDescent="0.3">
      <c r="A3" s="1" t="s">
        <v>27</v>
      </c>
      <c r="B3" s="1">
        <f>B1-2</f>
        <v>7.9999999999999964</v>
      </c>
      <c r="C3" s="1"/>
    </row>
    <row r="4" spans="1:3" x14ac:dyDescent="0.3">
      <c r="A4" s="1" t="s">
        <v>28</v>
      </c>
      <c r="B4" s="1">
        <v>80</v>
      </c>
      <c r="C4" s="1"/>
    </row>
    <row r="5" spans="1:3" x14ac:dyDescent="0.3">
      <c r="A5" s="1" t="s">
        <v>29</v>
      </c>
      <c r="B5" s="1">
        <f>B2*B1</f>
        <v>639.99999999999977</v>
      </c>
      <c r="C5" s="1"/>
    </row>
    <row r="6" spans="1:3" x14ac:dyDescent="0.3">
      <c r="A6" s="1" t="s">
        <v>30</v>
      </c>
      <c r="B6" s="1">
        <f>B3*B4</f>
        <v>639.99999999999977</v>
      </c>
      <c r="C6" s="1"/>
    </row>
    <row r="7" spans="1:3" x14ac:dyDescent="0.3">
      <c r="A7" s="1" t="s">
        <v>31</v>
      </c>
      <c r="B7" s="1">
        <f>(B1*B2)-(B4*B3)</f>
        <v>0</v>
      </c>
      <c r="C7" s="3" t="s">
        <v>32</v>
      </c>
    </row>
    <row r="10" spans="1:3" ht="72" x14ac:dyDescent="0.3">
      <c r="A10" s="6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E10D-1221-4FDD-87A5-ED2FE6A5FB6B}">
  <dimension ref="A1:E6"/>
  <sheetViews>
    <sheetView workbookViewId="0">
      <selection activeCell="F6" sqref="F6"/>
    </sheetView>
  </sheetViews>
  <sheetFormatPr defaultRowHeight="14.4" x14ac:dyDescent="0.3"/>
  <cols>
    <col min="1" max="1" width="18.21875" customWidth="1"/>
    <col min="4" max="4" width="18.44140625" customWidth="1"/>
    <col min="5" max="5" width="10.33203125" customWidth="1"/>
  </cols>
  <sheetData>
    <row r="1" spans="1:5" ht="18" customHeight="1" x14ac:dyDescent="0.3">
      <c r="A1" s="7" t="s">
        <v>34</v>
      </c>
      <c r="B1" s="1">
        <v>50</v>
      </c>
      <c r="D1" s="7" t="s">
        <v>34</v>
      </c>
      <c r="E1" s="1">
        <v>50</v>
      </c>
    </row>
    <row r="2" spans="1:5" ht="18" customHeight="1" x14ac:dyDescent="0.3">
      <c r="A2" s="7" t="s">
        <v>35</v>
      </c>
      <c r="B2" s="1">
        <v>10</v>
      </c>
      <c r="D2" s="7" t="s">
        <v>35</v>
      </c>
      <c r="E2" s="1">
        <v>124</v>
      </c>
    </row>
    <row r="3" spans="1:5" ht="18" customHeight="1" x14ac:dyDescent="0.3">
      <c r="A3" s="7" t="s">
        <v>36</v>
      </c>
      <c r="B3" s="1">
        <v>1200</v>
      </c>
      <c r="D3" s="7" t="s">
        <v>36</v>
      </c>
      <c r="E3" s="1">
        <v>1200</v>
      </c>
    </row>
    <row r="4" spans="1:5" ht="18" customHeight="1" x14ac:dyDescent="0.3">
      <c r="A4" s="8" t="s">
        <v>37</v>
      </c>
      <c r="B4" s="1">
        <f>(B1*B2)-B3</f>
        <v>-700</v>
      </c>
      <c r="D4" s="8" t="s">
        <v>37</v>
      </c>
      <c r="E4" s="1">
        <f>(E1*E2)-E3</f>
        <v>5000</v>
      </c>
    </row>
    <row r="6" spans="1:5" ht="27.6" x14ac:dyDescent="0.3">
      <c r="D6" s="9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2026-02-08T11:19:06Z</dcterms:created>
  <dcterms:modified xsi:type="dcterms:W3CDTF">2026-02-08T15:09:50Z</dcterms:modified>
</cp:coreProperties>
</file>
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Practice\For Golu\"/>
    </mc:Choice>
  </mc:AlternateContent>
  <xr:revisionPtr revIDLastSave="0" documentId="13_ncr:1_{B6DF35E4-21E0-43CB-B2E3-4F3E837228E7}" xr6:coauthVersionLast="47" xr6:coauthVersionMax="47" xr10:uidLastSave="{00000000-0000-0000-0000-000000000000}"/>
  <bookViews>
    <workbookView xWindow="-108" yWindow="-108" windowWidth="23256" windowHeight="13896" activeTab="4" xr2:uid="{14135FCB-110C-47DE-857A-0A37F4E546E4}"/>
  </bookViews>
  <sheets>
    <sheet name="Sheet1" sheetId="1" r:id="rId1"/>
    <sheet name="Gold" sheetId="2" r:id="rId2"/>
    <sheet name="Silver" sheetId="3" r:id="rId3"/>
    <sheet name="Pletinum" sheetId="4" r:id="rId4"/>
    <sheet name="Sales_Data" sheetId="5" r:id="rId5"/>
  </sheets>
  <definedNames>
    <definedName name="Gold">Gold!$A$2:$B$6</definedName>
    <definedName name="Pletinum">Pletinum!$A$2:$B$6</definedName>
    <definedName name="Silver">Silver!$A$2:$B$6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E14" i="1"/>
  <c r="E3" i="1"/>
  <c r="E4" i="1"/>
  <c r="E5" i="1"/>
  <c r="E6" i="1"/>
  <c r="E7" i="1"/>
  <c r="E8" i="1"/>
  <c r="E9" i="1"/>
  <c r="E10" i="1"/>
  <c r="E11" i="1"/>
  <c r="E12" i="1"/>
  <c r="E13" i="1"/>
  <c r="E2" i="1"/>
  <c r="G3" i="5"/>
</calcChain>
</file>

<file path=xl/sharedStrings.xml><?xml version="1.0" encoding="utf-8"?>
<sst xmlns="http://schemas.openxmlformats.org/spreadsheetml/2006/main" count="78" uniqueCount="28">
  <si>
    <t>Item Name</t>
  </si>
  <si>
    <t>Category</t>
  </si>
  <si>
    <t>Weight(g)</t>
  </si>
  <si>
    <t>Ring A</t>
  </si>
  <si>
    <t>Gold</t>
  </si>
  <si>
    <t>Chain B</t>
  </si>
  <si>
    <t>Bracelet C</t>
  </si>
  <si>
    <t>Bangle D</t>
  </si>
  <si>
    <t>Necklace E</t>
  </si>
  <si>
    <t>Silver</t>
  </si>
  <si>
    <t>Pendant F</t>
  </si>
  <si>
    <t>Anklet G</t>
  </si>
  <si>
    <t>Chain H</t>
  </si>
  <si>
    <t>Earrings I</t>
  </si>
  <si>
    <t>Platinum</t>
  </si>
  <si>
    <t>Ring J</t>
  </si>
  <si>
    <t>Chain K</t>
  </si>
  <si>
    <t>Bracelet L</t>
  </si>
  <si>
    <t xml:space="preserve">Amount    </t>
  </si>
  <si>
    <t>Making Charges</t>
  </si>
  <si>
    <t>Amount</t>
  </si>
  <si>
    <t>Data Set No</t>
  </si>
  <si>
    <t>Operation</t>
  </si>
  <si>
    <t>Sum</t>
  </si>
  <si>
    <t>Average</t>
  </si>
  <si>
    <t>Max</t>
  </si>
  <si>
    <t>Min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</si>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</sst>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E0E3-2F05-407E-AD13-F37F96479C20}">
  <dimension ref="A1:K14"/>
  <sheetViews>
    <sheetView workbookViewId="0">
      <selection activeCell="D11" sqref="D10:D11"/>
    </sheetView>
  </sheetViews>
  <sheetFormatPr defaultRowHeight="14.4" x14ac:dyDescent="0.3"/>
  <cols>
    <col min="1" max="1" width="11.6640625" bestFit="1" customWidth="1"/>
    <col min="2" max="2" width="16.21875" customWidth="1"/>
    <col min="4" max="4" width="9.21875" customWidth="1"/>
    <col min="5" max="5" width="13.77734375" bestFit="1" customWidth="1"/>
    <col min="11" max="11" width="10.33203125" bestFit="1" customWidth="1"/>
  </cols>
  <sheetData>
    <row r="1" spans="1:11" ht="15.6" x14ac:dyDescent="0.3">
      <c r="A1" s="1" t="s">
        <v>0</v>
      </c>
      <c r="B1" s="2" t="s">
        <v>1</v>
      </c>
      <c r="C1" s="2" t="s">
        <v>2</v>
      </c>
      <c r="D1" s="2" t="s">
        <v>18</v>
      </c>
      <c r="E1" s="2" t="s">
        <v>19</v>
      </c>
      <c r="J1" s="2" t="s">
        <v>1</v>
      </c>
      <c r="K1" s="2" t="s">
        <v>21</v>
      </c>
    </row>
    <row r="2" spans="1:11" x14ac:dyDescent="0.3">
      <c r="A2" s="2" t="s">
        <v>3</v>
      </c>
      <c r="B2" s="2" t="s">
        <v>4</v>
      </c>
      <c r="C2" s="2">
        <v>10</v>
      </c>
      <c r="D2" s="2">
        <v>55000</v>
      </c>
      <c r="E2" s="2">
        <f t="shared" ref="E2:E14" si="0">VLOOKUP(D2,CHOOSE(VLOOKUP(B2,$J$1:$K$4,2,0),Gold,Silver,Pletinum),2,1)</f>
        <v>5000</v>
      </c>
      <c r="J2" s="2" t="s">
        <v>4</v>
      </c>
      <c r="K2" s="2">
        <v>1</v>
      </c>
    </row>
    <row r="3" spans="1:11" x14ac:dyDescent="0.3">
      <c r="A3" s="2" t="s">
        <v>5</v>
      </c>
      <c r="B3" s="2" t="s">
        <v>4</v>
      </c>
      <c r="C3" s="2">
        <v>20</v>
      </c>
      <c r="D3" s="2">
        <v>85000</v>
      </c>
      <c r="E3" s="2">
        <f t="shared" si="0"/>
        <v>5000</v>
      </c>
      <c r="J3" s="2" t="s">
        <v>9</v>
      </c>
      <c r="K3" s="2">
        <v>2</v>
      </c>
    </row>
    <row r="4" spans="1:11" x14ac:dyDescent="0.3">
      <c r="A4" s="2" t="s">
        <v>6</v>
      </c>
      <c r="B4" s="2" t="s">
        <v>4</v>
      </c>
      <c r="C4" s="2">
        <v>25</v>
      </c>
      <c r="D4" s="2">
        <v>130000</v>
      </c>
      <c r="E4" s="2">
        <f t="shared" si="0"/>
        <v>12000</v>
      </c>
      <c r="J4" s="2" t="s">
        <v>14</v>
      </c>
      <c r="K4" s="2">
        <v>3</v>
      </c>
    </row>
    <row r="5" spans="1:11" x14ac:dyDescent="0.3">
      <c r="A5" s="2" t="s">
        <v>7</v>
      </c>
      <c r="B5" s="2" t="s">
        <v>4</v>
      </c>
      <c r="C5" s="2">
        <v>30</v>
      </c>
      <c r="D5" s="2">
        <v>150000</v>
      </c>
      <c r="E5" s="2">
        <f t="shared" si="0"/>
        <v>15000</v>
      </c>
    </row>
    <row r="6" spans="1:11" x14ac:dyDescent="0.3">
      <c r="A6" s="2" t="s">
        <v>8</v>
      </c>
      <c r="B6" s="2" t="s">
        <v>9</v>
      </c>
      <c r="C6" s="2">
        <v>15</v>
      </c>
      <c r="D6" s="2">
        <v>18000</v>
      </c>
      <c r="E6" s="2">
        <f t="shared" si="0"/>
        <v>1800</v>
      </c>
    </row>
    <row r="7" spans="1:11" x14ac:dyDescent="0.3">
      <c r="A7" s="2" t="s">
        <v>10</v>
      </c>
      <c r="B7" s="2" t="s">
        <v>9</v>
      </c>
      <c r="C7" s="2">
        <v>25</v>
      </c>
      <c r="D7" s="2">
        <v>30000</v>
      </c>
      <c r="E7" s="2">
        <f t="shared" si="0"/>
        <v>3000</v>
      </c>
    </row>
    <row r="8" spans="1:11" x14ac:dyDescent="0.3">
      <c r="A8" s="2" t="s">
        <v>11</v>
      </c>
      <c r="B8" s="2" t="s">
        <v>9</v>
      </c>
      <c r="C8" s="2">
        <v>35</v>
      </c>
      <c r="D8" s="2">
        <v>45000</v>
      </c>
      <c r="E8" s="2">
        <f t="shared" si="0"/>
        <v>4500</v>
      </c>
    </row>
    <row r="9" spans="1:11" x14ac:dyDescent="0.3">
      <c r="A9" s="2" t="s">
        <v>12</v>
      </c>
      <c r="B9" s="2" t="s">
        <v>9</v>
      </c>
      <c r="C9" s="2">
        <v>40</v>
      </c>
      <c r="D9" s="2">
        <v>60000</v>
      </c>
      <c r="E9" s="2">
        <f t="shared" si="0"/>
        <v>6000</v>
      </c>
    </row>
    <row r="10" spans="1:11" x14ac:dyDescent="0.3">
      <c r="A10" s="2" t="s">
        <v>13</v>
      </c>
      <c r="B10" s="2" t="s">
        <v>14</v>
      </c>
      <c r="C10" s="2">
        <v>8</v>
      </c>
      <c r="D10" s="2">
        <v>40000</v>
      </c>
      <c r="E10" s="2">
        <f t="shared" si="0"/>
        <v>3000</v>
      </c>
    </row>
    <row r="11" spans="1:11" x14ac:dyDescent="0.3">
      <c r="A11" s="2" t="s">
        <v>15</v>
      </c>
      <c r="B11" s="2" t="s">
        <v>14</v>
      </c>
      <c r="C11" s="2">
        <v>12</v>
      </c>
      <c r="D11" s="2">
        <v>70000</v>
      </c>
      <c r="E11" s="2">
        <f t="shared" si="0"/>
        <v>5000</v>
      </c>
    </row>
    <row r="12" spans="1:11" x14ac:dyDescent="0.3">
      <c r="A12" s="2" t="s">
        <v>16</v>
      </c>
      <c r="B12" s="2" t="s">
        <v>14</v>
      </c>
      <c r="C12" s="2">
        <v>20</v>
      </c>
      <c r="D12" s="2">
        <v>100000</v>
      </c>
      <c r="E12" s="2">
        <f t="shared" si="0"/>
        <v>6000</v>
      </c>
    </row>
    <row r="13" spans="1:11" x14ac:dyDescent="0.3">
      <c r="A13" s="2" t="s">
        <v>17</v>
      </c>
      <c r="B13" s="2" t="s">
        <v>14</v>
      </c>
      <c r="C13" s="2">
        <v>28</v>
      </c>
      <c r="D13" s="2">
        <v>150000</v>
      </c>
      <c r="E13" s="2">
        <f t="shared" si="0"/>
        <v>7000</v>
      </c>
    </row>
    <row r="14" spans="1:11" x14ac:dyDescent="0.3">
      <c r="A14" s="2" t="s">
        <v>11</v>
      </c>
      <c r="B14" s="2" t="s">
        <v>9</v>
      </c>
      <c r="C14" s="2">
        <v>25</v>
      </c>
      <c r="D14" s="2">
        <v>25000</v>
      </c>
      <c r="E14" s="2">
        <f t="shared" si="0"/>
        <v>1800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9ED54-872B-4154-B2BD-A71268F5BA8A}">
  <dimension ref="A1:B6"/>
  <sheetViews>
    <sheetView workbookViewId="0">
      <selection activeCell="A2" sqref="A2:B6"/>
    </sheetView>
  </sheetViews>
  <sheetFormatPr defaultRowHeight="14.4" x14ac:dyDescent="0.3"/>
  <cols>
    <col min="2" max="2" width="13.77734375" bestFit="1" customWidth="1"/>
  </cols>
  <sheetData>
    <row r="1" spans="1:2" x14ac:dyDescent="0.3">
      <c r="A1" s="2" t="s">
        <v>20</v>
      </c>
      <c r="B1" s="2" t="s">
        <v>19</v>
      </c>
    </row>
    <row r="2" spans="1:2" x14ac:dyDescent="0.3">
      <c r="A2" s="2">
        <v>50000</v>
      </c>
      <c r="B2" s="2">
        <v>5000</v>
      </c>
    </row>
    <row r="3" spans="1:2" x14ac:dyDescent="0.3">
      <c r="A3" s="2">
        <v>95000</v>
      </c>
      <c r="B3" s="2">
        <v>9500</v>
      </c>
    </row>
    <row r="4" spans="1:2" x14ac:dyDescent="0.3">
      <c r="A4" s="2">
        <v>120000</v>
      </c>
      <c r="B4" s="2">
        <v>12000</v>
      </c>
    </row>
    <row r="5" spans="1:2" x14ac:dyDescent="0.3">
      <c r="A5" s="2">
        <v>150000</v>
      </c>
      <c r="B5" s="2">
        <v>15000</v>
      </c>
    </row>
    <row r="6" spans="1:2" x14ac:dyDescent="0.3">
      <c r="A6" s="2">
        <v>200000</v>
      </c>
      <c r="B6" s="2">
        <v>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6823-DE3A-4896-B037-3DD44531610E}">
  <dimension ref="A1:B6"/>
  <sheetViews>
    <sheetView workbookViewId="0">
      <selection activeCell="B3" sqref="B3"/>
    </sheetView>
  </sheetViews>
  <sheetFormatPr defaultRowHeight="14.4" x14ac:dyDescent="0.3"/>
  <cols>
    <col min="2" max="2" width="13.77734375" bestFit="1" customWidth="1"/>
  </cols>
  <sheetData>
    <row r="1" spans="1:2" x14ac:dyDescent="0.3">
      <c r="A1" s="2" t="s">
        <v>20</v>
      </c>
      <c r="B1" s="2" t="s">
        <v>19</v>
      </c>
    </row>
    <row r="2" spans="1:2" x14ac:dyDescent="0.3">
      <c r="A2" s="2">
        <v>18000</v>
      </c>
      <c r="B2" s="2">
        <v>1800</v>
      </c>
    </row>
    <row r="3" spans="1:2" x14ac:dyDescent="0.3">
      <c r="A3" s="2">
        <v>30000</v>
      </c>
      <c r="B3" s="2">
        <v>3000</v>
      </c>
    </row>
    <row r="4" spans="1:2" x14ac:dyDescent="0.3">
      <c r="A4" s="2">
        <v>45000</v>
      </c>
      <c r="B4" s="2">
        <v>4500</v>
      </c>
    </row>
    <row r="5" spans="1:2" x14ac:dyDescent="0.3">
      <c r="A5" s="2">
        <v>60000</v>
      </c>
      <c r="B5" s="2">
        <v>6000</v>
      </c>
    </row>
    <row r="6" spans="1:2" x14ac:dyDescent="0.3">
      <c r="A6" s="2">
        <v>75000</v>
      </c>
      <c r="B6" s="2">
        <v>7500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C792-079A-44FF-9F1A-B0AFCDB93518}">
  <dimension ref="A1:B6"/>
  <sheetViews>
    <sheetView workbookViewId="0">
      <selection activeCell="B7" sqref="B7"/>
    </sheetView>
  </sheetViews>
  <sheetFormatPr defaultRowHeight="14.4" x14ac:dyDescent="0.3"/>
  <cols>
    <col min="2" max="2" width="13.77734375" bestFit="1" customWidth="1"/>
  </cols>
  <sheetData>
    <row r="1" spans="1:2" x14ac:dyDescent="0.3">
      <c r="A1" s="2" t="s">
        <v>20</v>
      </c>
      <c r="B1" s="2" t="s">
        <v>19</v>
      </c>
    </row>
    <row r="2" spans="1:2" x14ac:dyDescent="0.3">
      <c r="A2" s="2">
        <v>40000</v>
      </c>
      <c r="B2" s="2">
        <v>3000</v>
      </c>
    </row>
    <row r="3" spans="1:2" x14ac:dyDescent="0.3">
      <c r="A3" s="2">
        <v>70000</v>
      </c>
      <c r="B3" s="2">
        <v>5000</v>
      </c>
    </row>
    <row r="4" spans="1:2" x14ac:dyDescent="0.3">
      <c r="A4" s="2">
        <v>100000</v>
      </c>
      <c r="B4" s="2">
        <v>6000</v>
      </c>
    </row>
    <row r="5" spans="1:2" x14ac:dyDescent="0.3">
      <c r="A5" s="2">
        <v>150000</v>
      </c>
      <c r="B5" s="2">
        <v>7000</v>
      </c>
    </row>
    <row r="6" spans="1:2" x14ac:dyDescent="0.3">
      <c r="A6" s="2">
        <v>200000</v>
      </c>
      <c r="B6" s="2">
        <v>8000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DE91-1D85-45C0-93BD-91C29262A230}">
  <dimension ref="A1:I13"/>
  <sheetViews>
    <sheetView tabSelected="1" workbookViewId="0">
      <selection activeCell="I14" sqref="I14"/>
    </sheetView>
  </sheetViews>
  <sheetFormatPr defaultRowHeight="14.4" x14ac:dyDescent="0.3"/>
  <cols>
    <col min="1" max="1" width="15.21875" customWidth="1"/>
    <col min="2" max="2" width="9.109375" customWidth="1"/>
    <col min="4" max="4" width="11.77734375" customWidth="1"/>
    <col min="6" max="6" width="13.21875" customWidth="1"/>
    <col min="7" max="7" width="91.77734375" customWidth="1"/>
    <col min="8" max="8" width="10.33203125" customWidth="1"/>
    <col min="9" max="9" width="7.3320312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20</v>
      </c>
      <c r="F1" s="4" t="s">
        <v>22</v>
      </c>
      <c r="H1" s="4" t="s">
        <v>22</v>
      </c>
      <c r="I1" s="3" t="s">
        <v>27</v>
      </c>
    </row>
    <row r="2" spans="1:9" x14ac:dyDescent="0.3">
      <c r="A2" s="2" t="s">
        <v>3</v>
      </c>
      <c r="B2" s="2" t="s">
        <v>4</v>
      </c>
      <c r="C2" s="2">
        <v>10</v>
      </c>
      <c r="D2" s="2">
        <v>50000</v>
      </c>
      <c r="F2" s="5" t="s">
        <v>23</v>
      </c>
      <c r="H2" s="3" t="s">
        <v>23</v>
      </c>
      <c r="I2" s="6">
        <v>1</v>
      </c>
    </row>
    <row r="3" spans="1:9" x14ac:dyDescent="0.3">
      <c r="A3" s="2" t="s">
        <v>5</v>
      </c>
      <c r="B3" s="2" t="s">
        <v>4</v>
      </c>
      <c r="C3" s="2">
        <v>20</v>
      </c>
      <c r="D3" s="2">
        <v>95000</v>
      </c>
      <c r="F3" s="5">
        <f>SUM(CHOOSE(VLOOKUP(F2,$H$2:$I$5,2,0),SUM(D2:D13),AVERAGE(D2:D13),MAX(D2:D13),MIN(D2:D13)))</f>
        <v>928000</v>
      </c>
      <c r="G3" s="5" t="str">
        <f ca="1">_xlfn.FORMULATEXT(F3)</f>
        <v>=SUM(CHOOSE(VLOOKUP(F2,$H$2:$I$5,2,0),SUM(D2:D13),AVERAGE(D2:D13),MAX(D2:D13),MIN(D2:D13)))</v>
      </c>
      <c r="H3" s="3" t="s">
        <v>24</v>
      </c>
      <c r="I3" s="6">
        <v>2</v>
      </c>
    </row>
    <row r="4" spans="1:9" x14ac:dyDescent="0.3">
      <c r="A4" s="2" t="s">
        <v>6</v>
      </c>
      <c r="B4" s="2" t="s">
        <v>4</v>
      </c>
      <c r="C4" s="2">
        <v>25</v>
      </c>
      <c r="D4" s="2">
        <v>120000</v>
      </c>
      <c r="H4" s="3" t="s">
        <v>25</v>
      </c>
      <c r="I4" s="6">
        <v>3</v>
      </c>
    </row>
    <row r="5" spans="1:9" x14ac:dyDescent="0.3">
      <c r="A5" s="2" t="s">
        <v>7</v>
      </c>
      <c r="B5" s="2" t="s">
        <v>4</v>
      </c>
      <c r="C5" s="2">
        <v>30</v>
      </c>
      <c r="D5" s="2">
        <v>150000</v>
      </c>
      <c r="H5" s="3" t="s">
        <v>26</v>
      </c>
      <c r="I5" s="6">
        <v>4</v>
      </c>
    </row>
    <row r="6" spans="1:9" x14ac:dyDescent="0.3">
      <c r="A6" s="2" t="s">
        <v>8</v>
      </c>
      <c r="B6" s="2" t="s">
        <v>9</v>
      </c>
      <c r="C6" s="2">
        <v>15</v>
      </c>
      <c r="D6" s="2">
        <v>18000</v>
      </c>
    </row>
    <row r="7" spans="1:9" x14ac:dyDescent="0.3">
      <c r="A7" s="2" t="s">
        <v>10</v>
      </c>
      <c r="B7" s="2" t="s">
        <v>9</v>
      </c>
      <c r="C7" s="2">
        <v>25</v>
      </c>
      <c r="D7" s="2">
        <v>30000</v>
      </c>
    </row>
    <row r="8" spans="1:9" x14ac:dyDescent="0.3">
      <c r="A8" s="2" t="s">
        <v>11</v>
      </c>
      <c r="B8" s="2" t="s">
        <v>9</v>
      </c>
      <c r="C8" s="2">
        <v>35</v>
      </c>
      <c r="D8" s="2">
        <v>45000</v>
      </c>
    </row>
    <row r="9" spans="1:9" x14ac:dyDescent="0.3">
      <c r="A9" s="2" t="s">
        <v>12</v>
      </c>
      <c r="B9" s="2" t="s">
        <v>9</v>
      </c>
      <c r="C9" s="2">
        <v>40</v>
      </c>
      <c r="D9" s="2">
        <v>60000</v>
      </c>
    </row>
    <row r="10" spans="1:9" x14ac:dyDescent="0.3">
      <c r="A10" s="2" t="s">
        <v>13</v>
      </c>
      <c r="B10" s="2" t="s">
        <v>14</v>
      </c>
      <c r="C10" s="2">
        <v>8</v>
      </c>
      <c r="D10" s="2">
        <v>40000</v>
      </c>
    </row>
    <row r="11" spans="1:9" x14ac:dyDescent="0.3">
      <c r="A11" s="2" t="s">
        <v>15</v>
      </c>
      <c r="B11" s="2" t="s">
        <v>14</v>
      </c>
      <c r="C11" s="2">
        <v>12</v>
      </c>
      <c r="D11" s="2">
        <v>70000</v>
      </c>
    </row>
    <row r="12" spans="1:9" x14ac:dyDescent="0.3">
      <c r="A12" s="2" t="s">
        <v>16</v>
      </c>
      <c r="B12" s="2" t="s">
        <v>14</v>
      </c>
      <c r="C12" s="2">
        <v>20</v>
      </c>
      <c r="D12" s="2">
        <v>100000</v>
      </c>
    </row>
    <row r="13" spans="1:9" x14ac:dyDescent="0.3">
      <c r="A13" s="2" t="s">
        <v>17</v>
      </c>
      <c r="B13" s="2" t="s">
        <v>14</v>
      </c>
      <c r="C13" s="2">
        <v>28</v>
      </c>
      <c r="D13" s="2">
        <v>150000</v>
      </c>
    </row>
  </sheetData>
  <dataValidations count="1">
    <dataValidation type="list" allowBlank="1" showInputMessage="1" showErrorMessage="1" sqref="F2" xr:uid="{32AF1F45-A9C4-4B94-A608-3A2191D88BD6}">
      <formula1>$H$2:$H$5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Sheet1</vt:lpstr>
      <vt:lpstr>Gold</vt:lpstr>
      <vt:lpstr>Silver</vt:lpstr>
      <vt:lpstr>Pletinum</vt:lpstr>
      <vt:lpstr>Sales_Data</vt:lpstr>
      <vt:lpstr>Gold</vt:lpstr>
      <vt:lpstr>Pletinum</vt:lpstr>
      <vt:lpstr>Silver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 Singh</dc:creator>
  <cp:lastModifiedBy>Triveni Singh</cp:lastModifiedBy>
  <dcterms:created xsi:type="dcterms:W3CDTF">2026-03-16T17:20:44Z</dcterms:created>
  <dcterms:modified xsi:type="dcterms:W3CDTF">2026-03-17T16:38:22Z</dcterms:modified>
</cp:coreProperties>
</file>
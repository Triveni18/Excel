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7C3B6BB9-536D-489A-AF7B-0624909C75E1}" xr6:coauthVersionLast="47" xr6:coauthVersionMax="47" xr10:uidLastSave="{00000000-0000-0000-0000-000000000000}"/>
  <bookViews>
    <workbookView xWindow="-108" yWindow="-108" windowWidth="23256" windowHeight="13896" activeTab="5" xr2:uid="{1E63758B-826D-4860-90D8-23CE9A1386E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3" i="6"/>
  <c r="B6" i="4"/>
  <c r="D6" i="4"/>
  <c r="B6" i="6"/>
  <c r="B5" i="6"/>
  <c r="B7" i="5"/>
  <c r="B5" i="5"/>
  <c r="B5" i="4"/>
  <c r="B3" i="4"/>
  <c r="B5" i="3"/>
  <c r="B3" i="3"/>
  <c r="B9" i="3" s="1"/>
  <c r="B5" i="2"/>
  <c r="B3" i="2"/>
  <c r="A11" i="2" s="1"/>
  <c r="B6" i="1"/>
  <c r="B4" i="1"/>
  <c r="B9" i="4" l="1"/>
  <c r="B6" i="3"/>
  <c r="B6" i="2"/>
</calcChain>
</file>

<file path=xl/sharedStrings.xml><?xml version="1.0" encoding="utf-8"?>
<sst xmlns="http://schemas.openxmlformats.org/spreadsheetml/2006/main" count="51" uniqueCount="27">
  <si>
    <t>Loan Amount</t>
  </si>
  <si>
    <t>Interest Rate</t>
  </si>
  <si>
    <t>Loan Term (Years)</t>
  </si>
  <si>
    <t>Monthly Payment (₹)</t>
  </si>
  <si>
    <t>Input</t>
  </si>
  <si>
    <t>=PMT(A2/12, A3*12, -A1)</t>
  </si>
  <si>
    <t>One-variable Data Table Example (Interest Rate)</t>
  </si>
  <si>
    <t>Changing Only  Interest Rate</t>
  </si>
  <si>
    <t>Interest Rate Annual</t>
  </si>
  <si>
    <t>Interest Rate Monthly</t>
  </si>
  <si>
    <t>Loan Term Month</t>
  </si>
  <si>
    <t>Principal</t>
  </si>
  <si>
    <t>Annual Interest Rate</t>
  </si>
  <si>
    <t>Future Value</t>
  </si>
  <si>
    <t>Montly Interest Rate</t>
  </si>
  <si>
    <t>Duration in Years</t>
  </si>
  <si>
    <t>Duration in Months</t>
  </si>
  <si>
    <t>Result</t>
  </si>
  <si>
    <t>Units Sold</t>
  </si>
  <si>
    <t>Price per Unit</t>
  </si>
  <si>
    <t>Variable Cost per Unit</t>
  </si>
  <si>
    <t>Fixed Costs</t>
  </si>
  <si>
    <t>Profit</t>
  </si>
  <si>
    <t>Monthly Payment</t>
  </si>
  <si>
    <t>Loan Term in Years</t>
  </si>
  <si>
    <t>Loan Term in Months</t>
  </si>
  <si>
    <t>=PMT(B2/12,B4*12,-B1)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</si>
</sst>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0" fillId="0" borderId="1" xfId="0" quotePrefix="1" applyBorder="1"/>
    <xf numFmtId="0" fontId="1" fillId="2" borderId="0" xfId="0" applyFont="1" applyFill="1"/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8" fontId="0" fillId="0" borderId="0" xfId="0" applyNumberFormat="1"/>
    <xf numFmtId="0" fontId="0" fillId="0" borderId="0" xfId="0" quotePrefix="1"/>
    <xf numFmtId="10" fontId="0" fillId="0" borderId="1" xfId="0" applyNumberFormat="1" applyBorder="1"/>
    <xf numFmtId="8" fontId="0" fillId="2" borderId="1" xfId="0" applyNumberFormat="1" applyFill="1" applyBorder="1"/>
    <xf numFmtId="3" fontId="0" fillId="0" borderId="1" xfId="0" applyNumberFormat="1" applyBorder="1"/>
    <xf numFmtId="9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2" fillId="2" borderId="1" xfId="0" applyNumberFormat="1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8" fontId="1" fillId="2" borderId="1" xfId="0" applyNumberFormat="1" applyFont="1" applyFill="1" applyBorder="1"/>
    <xf numFmtId="1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CDB9-BD8B-42C8-AE3D-71A9BC5200D2}">
  <dimension ref="A1:F9"/>
  <sheetViews>
    <sheetView workbookViewId="0">
      <selection activeCell="B3" sqref="B3"/>
    </sheetView>
  </sheetViews>
  <sheetFormatPr defaultRowHeight="14.4" x14ac:dyDescent="0.3"/>
  <cols>
    <col min="1" max="1" width="17.21875" customWidth="1"/>
    <col min="2" max="2" width="14.6640625" bestFit="1" customWidth="1"/>
    <col min="3" max="3" width="22.33203125" customWidth="1"/>
    <col min="4" max="4" width="11.109375" bestFit="1" customWidth="1"/>
    <col min="5" max="5" width="14.6640625" bestFit="1" customWidth="1"/>
    <col min="6" max="6" width="9.44140625" bestFit="1" customWidth="1"/>
  </cols>
  <sheetData>
    <row r="1" spans="1:6" x14ac:dyDescent="0.3">
      <c r="A1" s="1" t="s">
        <v>0</v>
      </c>
      <c r="B1" s="1">
        <v>600000</v>
      </c>
      <c r="C1" s="1" t="s">
        <v>4</v>
      </c>
    </row>
    <row r="2" spans="1:6" x14ac:dyDescent="0.3">
      <c r="A2" s="1" t="s">
        <v>1</v>
      </c>
      <c r="B2" s="2">
        <v>0.08</v>
      </c>
      <c r="C2" s="1" t="s">
        <v>4</v>
      </c>
    </row>
    <row r="3" spans="1:6" x14ac:dyDescent="0.3">
      <c r="A3" s="1" t="s">
        <v>2</v>
      </c>
      <c r="B3" s="1">
        <v>10</v>
      </c>
      <c r="C3" s="1" t="s">
        <v>4</v>
      </c>
    </row>
    <row r="4" spans="1:6" x14ac:dyDescent="0.3">
      <c r="A4" s="1" t="s">
        <v>3</v>
      </c>
      <c r="B4" s="3">
        <f>PMT(B2/12,B3*12,-B1)</f>
        <v>7279.6556613214152</v>
      </c>
      <c r="C4" s="4" t="s">
        <v>5</v>
      </c>
    </row>
    <row r="5" spans="1:6" x14ac:dyDescent="0.3">
      <c r="A5" s="1" t="s">
        <v>1</v>
      </c>
      <c r="B5" s="2">
        <v>0.06</v>
      </c>
      <c r="C5" s="2">
        <v>7.0000000000000007E-2</v>
      </c>
      <c r="D5" s="2">
        <v>0.08</v>
      </c>
      <c r="E5" s="2">
        <v>0.09</v>
      </c>
      <c r="F5" s="2">
        <v>0.1</v>
      </c>
    </row>
    <row r="6" spans="1:6" x14ac:dyDescent="0.3">
      <c r="A6" s="1" t="s">
        <v>3</v>
      </c>
      <c r="B6" s="3">
        <f>PMT(B5/12,B3*12,-B1)</f>
        <v>6661.2301164989667</v>
      </c>
      <c r="C6" s="3">
        <f t="dataTable" ref="C6:F6" dt2D="0" dtr="1" r1="B5"/>
        <v>6966.5087531174431</v>
      </c>
      <c r="D6" s="3">
        <v>7279.6556613214152</v>
      </c>
      <c r="E6" s="3">
        <v>7600.5464250149689</v>
      </c>
      <c r="F6" s="3">
        <v>7929.0442129057001</v>
      </c>
    </row>
    <row r="8" spans="1:6" x14ac:dyDescent="0.3">
      <c r="A8" t="s">
        <v>6</v>
      </c>
    </row>
    <row r="9" spans="1:6" x14ac:dyDescent="0.3">
      <c r="A9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25E0-5978-4846-9771-152C08E8059B}">
  <dimension ref="A1:G16"/>
  <sheetViews>
    <sheetView workbookViewId="0">
      <selection activeCell="B3" sqref="B3"/>
    </sheetView>
  </sheetViews>
  <sheetFormatPr defaultRowHeight="14.4" x14ac:dyDescent="0.3"/>
  <cols>
    <col min="1" max="1" width="19.6640625" customWidth="1"/>
    <col min="2" max="2" width="10.5546875" bestFit="1" customWidth="1"/>
    <col min="3" max="3" width="12.109375" customWidth="1"/>
    <col min="4" max="7" width="9.44140625" bestFit="1" customWidth="1"/>
  </cols>
  <sheetData>
    <row r="1" spans="1:7" x14ac:dyDescent="0.3">
      <c r="A1" s="1" t="s">
        <v>0</v>
      </c>
      <c r="B1" s="1">
        <v>600000</v>
      </c>
      <c r="C1" s="1" t="s">
        <v>4</v>
      </c>
    </row>
    <row r="2" spans="1:7" x14ac:dyDescent="0.3">
      <c r="A2" s="1" t="s">
        <v>8</v>
      </c>
      <c r="B2" s="2">
        <v>0.08</v>
      </c>
      <c r="C2" s="1" t="s">
        <v>4</v>
      </c>
    </row>
    <row r="3" spans="1:7" x14ac:dyDescent="0.3">
      <c r="A3" s="1" t="s">
        <v>9</v>
      </c>
      <c r="B3" s="10">
        <f>B2/12</f>
        <v>6.6666666666666671E-3</v>
      </c>
      <c r="C3" s="1"/>
    </row>
    <row r="4" spans="1:7" x14ac:dyDescent="0.3">
      <c r="A4" s="1" t="s">
        <v>2</v>
      </c>
      <c r="B4" s="1">
        <v>10</v>
      </c>
      <c r="C4" s="1" t="s">
        <v>4</v>
      </c>
    </row>
    <row r="5" spans="1:7" x14ac:dyDescent="0.3">
      <c r="A5" s="1" t="s">
        <v>10</v>
      </c>
      <c r="B5" s="1">
        <f>B4*12</f>
        <v>120</v>
      </c>
      <c r="C5" s="1"/>
    </row>
    <row r="6" spans="1:7" x14ac:dyDescent="0.3">
      <c r="A6" s="1" t="s">
        <v>3</v>
      </c>
      <c r="B6" s="3">
        <f>PMT(B3,B5,-B1)</f>
        <v>7279.6556613214152</v>
      </c>
      <c r="C6" s="4" t="s">
        <v>5</v>
      </c>
    </row>
    <row r="7" spans="1:7" x14ac:dyDescent="0.3">
      <c r="B7" s="8"/>
      <c r="C7" s="9"/>
    </row>
    <row r="8" spans="1:7" x14ac:dyDescent="0.3">
      <c r="B8" s="8"/>
      <c r="C8" s="9"/>
    </row>
    <row r="11" spans="1:7" x14ac:dyDescent="0.3">
      <c r="A11" s="11">
        <f>PMT(B3,B5,-B1)</f>
        <v>7279.6556613214152</v>
      </c>
      <c r="B11" s="1">
        <v>5</v>
      </c>
      <c r="C11" s="1">
        <v>10</v>
      </c>
      <c r="D11" s="1">
        <v>15</v>
      </c>
      <c r="E11" s="1">
        <v>20</v>
      </c>
      <c r="F11" s="1">
        <v>25</v>
      </c>
      <c r="G11" s="1">
        <v>30</v>
      </c>
    </row>
    <row r="12" spans="1:7" x14ac:dyDescent="0.3">
      <c r="A12" s="7">
        <v>0.06</v>
      </c>
      <c r="B12" s="3">
        <f t="dataTable" ref="B12:G16" dt2D="1" dtr="1" r1="B4" r2="B2"/>
        <v>11599.680917656748</v>
      </c>
      <c r="C12" s="3">
        <v>6661.2301164989667</v>
      </c>
      <c r="D12" s="3">
        <v>5063.1409682907079</v>
      </c>
      <c r="E12" s="3">
        <v>4298.586350868989</v>
      </c>
      <c r="F12" s="3">
        <v>3865.8084089130512</v>
      </c>
      <c r="G12" s="3">
        <v>3597.3031509165139</v>
      </c>
    </row>
    <row r="13" spans="1:7" x14ac:dyDescent="0.3">
      <c r="A13" s="7">
        <v>7.0000000000000007E-2</v>
      </c>
      <c r="B13" s="3">
        <v>11880.719124209721</v>
      </c>
      <c r="C13" s="3">
        <v>6966.5087531174431</v>
      </c>
      <c r="D13" s="3">
        <v>5392.9696251145615</v>
      </c>
      <c r="E13" s="3">
        <v>4651.7936137132474</v>
      </c>
      <c r="F13" s="3">
        <v>4240.6751836505509</v>
      </c>
      <c r="G13" s="3">
        <v>3991.8149710750995</v>
      </c>
    </row>
    <row r="14" spans="1:7" x14ac:dyDescent="0.3">
      <c r="A14" s="7">
        <v>0.08</v>
      </c>
      <c r="B14" s="3">
        <v>12165.836573048209</v>
      </c>
      <c r="C14" s="11">
        <v>7279.6556613214152</v>
      </c>
      <c r="D14" s="3">
        <v>5733.912505982109</v>
      </c>
      <c r="E14" s="3">
        <v>5018.6404139607766</v>
      </c>
      <c r="F14" s="3">
        <v>4630.897316238018</v>
      </c>
      <c r="G14" s="3">
        <v>4402.5874432762575</v>
      </c>
    </row>
    <row r="15" spans="1:7" x14ac:dyDescent="0.3">
      <c r="A15" s="7">
        <v>0.09</v>
      </c>
      <c r="B15" s="3">
        <v>12455.013135812405</v>
      </c>
      <c r="C15" s="3">
        <v>7600.5464250149689</v>
      </c>
      <c r="D15" s="3">
        <v>6085.5995049707099</v>
      </c>
      <c r="E15" s="3">
        <v>5398.3557351010377</v>
      </c>
      <c r="F15" s="3">
        <v>5035.1781818090603</v>
      </c>
      <c r="G15" s="3">
        <v>4827.7357016686956</v>
      </c>
    </row>
    <row r="16" spans="1:7" x14ac:dyDescent="0.3">
      <c r="A16" s="7">
        <v>0.1</v>
      </c>
      <c r="B16" s="3">
        <v>12748.226826760967</v>
      </c>
      <c r="C16" s="3">
        <v>7929.0442129057001</v>
      </c>
      <c r="D16" s="3">
        <v>6447.6307062486976</v>
      </c>
      <c r="E16" s="3">
        <v>5790.1298704440469</v>
      </c>
      <c r="F16" s="3">
        <v>5452.2044732403629</v>
      </c>
      <c r="G16" s="3">
        <v>5265.4294205327924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AB90-4F19-4170-9D72-6FDB62A87756}">
  <dimension ref="A1:F9"/>
  <sheetViews>
    <sheetView workbookViewId="0">
      <selection activeCell="A8" sqref="A8:F8"/>
    </sheetView>
  </sheetViews>
  <sheetFormatPr defaultRowHeight="14.4" x14ac:dyDescent="0.3"/>
  <cols>
    <col min="1" max="1" width="19.33203125" customWidth="1"/>
    <col min="2" max="2" width="13.109375" customWidth="1"/>
    <col min="3" max="3" width="10.44140625" customWidth="1"/>
    <col min="4" max="4" width="12" customWidth="1"/>
    <col min="5" max="5" width="11.77734375" customWidth="1"/>
    <col min="6" max="6" width="12.21875" customWidth="1"/>
  </cols>
  <sheetData>
    <row r="1" spans="1:6" x14ac:dyDescent="0.3">
      <c r="A1" s="1" t="s">
        <v>11</v>
      </c>
      <c r="B1" s="12">
        <v>100000</v>
      </c>
    </row>
    <row r="2" spans="1:6" x14ac:dyDescent="0.3">
      <c r="A2" s="1" t="s">
        <v>12</v>
      </c>
      <c r="B2" s="2">
        <v>0.06</v>
      </c>
    </row>
    <row r="3" spans="1:6" x14ac:dyDescent="0.3">
      <c r="A3" s="1" t="s">
        <v>14</v>
      </c>
      <c r="B3" s="10">
        <f>B2/12</f>
        <v>5.0000000000000001E-3</v>
      </c>
    </row>
    <row r="4" spans="1:6" x14ac:dyDescent="0.3">
      <c r="A4" s="1" t="s">
        <v>15</v>
      </c>
      <c r="B4" s="1">
        <v>10</v>
      </c>
    </row>
    <row r="5" spans="1:6" x14ac:dyDescent="0.3">
      <c r="A5" s="1" t="s">
        <v>16</v>
      </c>
      <c r="B5" s="1">
        <f>B4*12</f>
        <v>120</v>
      </c>
    </row>
    <row r="6" spans="1:6" x14ac:dyDescent="0.3">
      <c r="A6" s="1" t="s">
        <v>13</v>
      </c>
      <c r="B6" s="3">
        <f>PV(B3,B5,0,-B1)</f>
        <v>54963.273336416671</v>
      </c>
    </row>
    <row r="8" spans="1:6" x14ac:dyDescent="0.3">
      <c r="A8" s="1" t="s">
        <v>12</v>
      </c>
      <c r="B8" s="13">
        <v>0.06</v>
      </c>
      <c r="C8" s="13">
        <v>7.0000000000000007E-2</v>
      </c>
      <c r="D8" s="13">
        <v>0.08</v>
      </c>
      <c r="E8" s="13">
        <v>0.09</v>
      </c>
      <c r="F8" s="13">
        <v>0.1</v>
      </c>
    </row>
    <row r="9" spans="1:6" x14ac:dyDescent="0.3">
      <c r="A9" s="1" t="s">
        <v>17</v>
      </c>
      <c r="B9" s="3">
        <f>PV(B3,B5,0,-B1)</f>
        <v>54963.273336416671</v>
      </c>
      <c r="C9" s="3">
        <f t="dataTable" ref="C9:F9" dt2D="0" dtr="1" r1="B2"/>
        <v>49759.626750862946</v>
      </c>
      <c r="D9" s="3">
        <v>45052.346071079257</v>
      </c>
      <c r="E9" s="3">
        <v>40793.730498249432</v>
      </c>
      <c r="F9" s="3">
        <v>36940.69719195483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BA69-6D20-4682-AA81-C91EC95A4C74}">
  <dimension ref="A1:G13"/>
  <sheetViews>
    <sheetView workbookViewId="0">
      <selection activeCell="B7" sqref="B7"/>
    </sheetView>
  </sheetViews>
  <sheetFormatPr defaultRowHeight="14.4" x14ac:dyDescent="0.3"/>
  <cols>
    <col min="1" max="1" width="17.21875" bestFit="1" customWidth="1"/>
    <col min="2" max="2" width="11.44140625" bestFit="1" customWidth="1"/>
    <col min="4" max="4" width="10.44140625" bestFit="1" customWidth="1"/>
  </cols>
  <sheetData>
    <row r="1" spans="1:7" x14ac:dyDescent="0.3">
      <c r="A1" s="1" t="s">
        <v>11</v>
      </c>
      <c r="B1" s="12">
        <v>100000</v>
      </c>
    </row>
    <row r="2" spans="1:7" x14ac:dyDescent="0.3">
      <c r="A2" s="1" t="s">
        <v>12</v>
      </c>
      <c r="B2" s="2">
        <v>0.06</v>
      </c>
    </row>
    <row r="3" spans="1:7" x14ac:dyDescent="0.3">
      <c r="A3" s="1" t="s">
        <v>14</v>
      </c>
      <c r="B3" s="10">
        <f>B2/12</f>
        <v>5.0000000000000001E-3</v>
      </c>
    </row>
    <row r="4" spans="1:7" x14ac:dyDescent="0.3">
      <c r="A4" s="1" t="s">
        <v>15</v>
      </c>
      <c r="B4" s="1">
        <v>10</v>
      </c>
    </row>
    <row r="5" spans="1:7" x14ac:dyDescent="0.3">
      <c r="A5" s="1" t="s">
        <v>16</v>
      </c>
      <c r="B5" s="1">
        <f>B4*12</f>
        <v>120</v>
      </c>
    </row>
    <row r="6" spans="1:7" x14ac:dyDescent="0.3">
      <c r="A6" s="1" t="s">
        <v>13</v>
      </c>
      <c r="B6" s="3">
        <f>PV(B2/12,B4*12,0,-B1)</f>
        <v>54963.273336416671</v>
      </c>
      <c r="D6" s="8">
        <f>PV(B3,B5,0,-B1)</f>
        <v>54963.273336416671</v>
      </c>
    </row>
    <row r="9" spans="1:7" ht="15.6" x14ac:dyDescent="0.3">
      <c r="A9" s="14" t="s">
        <v>12</v>
      </c>
      <c r="B9" s="17">
        <f>PV(B3,B5,0,-B1)</f>
        <v>54963.273336416671</v>
      </c>
      <c r="C9" s="13">
        <v>0.06</v>
      </c>
      <c r="D9" s="13">
        <v>7.0000000000000007E-2</v>
      </c>
      <c r="E9" s="13">
        <v>0.08</v>
      </c>
      <c r="F9" s="13">
        <v>0.09</v>
      </c>
      <c r="G9" s="13">
        <v>0.1</v>
      </c>
    </row>
    <row r="10" spans="1:7" x14ac:dyDescent="0.3">
      <c r="B10" s="16">
        <v>10</v>
      </c>
      <c r="C10" s="18">
        <f t="dataTable" ref="C10:G13" dt2D="1" dtr="1" r1="B2" r2="B4"/>
        <v>54963.273336416671</v>
      </c>
      <c r="D10" s="1">
        <v>49759.626750862946</v>
      </c>
      <c r="E10" s="1">
        <v>45052.346071079257</v>
      </c>
      <c r="F10" s="1">
        <v>40793.730498249432</v>
      </c>
      <c r="G10" s="1">
        <v>36940.69719195483</v>
      </c>
    </row>
    <row r="11" spans="1:7" x14ac:dyDescent="0.3">
      <c r="B11" s="16">
        <v>15</v>
      </c>
      <c r="C11" s="1">
        <v>40748.242666197599</v>
      </c>
      <c r="D11" s="1">
        <v>35100.691394573609</v>
      </c>
      <c r="E11" s="1">
        <v>30239.6052289455</v>
      </c>
      <c r="F11" s="1">
        <v>26054.94337370657</v>
      </c>
      <c r="G11" s="1">
        <v>22452.134314171268</v>
      </c>
    </row>
    <row r="12" spans="1:7" x14ac:dyDescent="0.3">
      <c r="B12" s="16">
        <v>20</v>
      </c>
      <c r="C12" s="1">
        <v>30209.614158536526</v>
      </c>
      <c r="D12" s="1">
        <v>24760.204543851945</v>
      </c>
      <c r="E12" s="1">
        <v>20297.138865082907</v>
      </c>
      <c r="F12" s="1">
        <v>16641.28447963806</v>
      </c>
      <c r="G12" s="1">
        <v>13646.151090276997</v>
      </c>
    </row>
    <row r="13" spans="1:7" x14ac:dyDescent="0.3">
      <c r="B13" s="16">
        <v>25</v>
      </c>
      <c r="C13" s="1">
        <v>22396.567996408543</v>
      </c>
      <c r="D13" s="1">
        <v>17465.973024912095</v>
      </c>
      <c r="E13" s="1">
        <v>13623.651598272707</v>
      </c>
      <c r="F13" s="1">
        <v>10628.783381341358</v>
      </c>
      <c r="G13" s="1">
        <v>8293.9749501289934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6615-7DC3-4B9B-B3D4-A4B5212E93B4}">
  <dimension ref="A1:G12"/>
  <sheetViews>
    <sheetView workbookViewId="0">
      <selection activeCell="B5" sqref="B5"/>
    </sheetView>
  </sheetViews>
  <sheetFormatPr defaultRowHeight="14.4" x14ac:dyDescent="0.3"/>
  <cols>
    <col min="1" max="1" width="19.21875" bestFit="1" customWidth="1"/>
  </cols>
  <sheetData>
    <row r="1" spans="1:7" x14ac:dyDescent="0.3">
      <c r="A1" s="6" t="s">
        <v>18</v>
      </c>
      <c r="B1" s="1">
        <v>400</v>
      </c>
    </row>
    <row r="2" spans="1:7" x14ac:dyDescent="0.3">
      <c r="A2" s="6" t="s">
        <v>19</v>
      </c>
      <c r="B2" s="1">
        <v>1000</v>
      </c>
    </row>
    <row r="3" spans="1:7" x14ac:dyDescent="0.3">
      <c r="A3" s="6" t="s">
        <v>20</v>
      </c>
      <c r="B3" s="1">
        <v>300</v>
      </c>
    </row>
    <row r="4" spans="1:7" x14ac:dyDescent="0.3">
      <c r="A4" s="6" t="s">
        <v>21</v>
      </c>
      <c r="B4" s="12">
        <v>100000</v>
      </c>
    </row>
    <row r="5" spans="1:7" x14ac:dyDescent="0.3">
      <c r="A5" s="6" t="s">
        <v>22</v>
      </c>
      <c r="B5" s="1">
        <f>(B1*B2)-(B4+(B1*B3))</f>
        <v>180000</v>
      </c>
    </row>
    <row r="7" spans="1:7" x14ac:dyDescent="0.3">
      <c r="A7" t="s">
        <v>18</v>
      </c>
      <c r="B7" s="19">
        <f>(B1*B2)-(B4+(B3*B1))</f>
        <v>180000</v>
      </c>
      <c r="C7" s="15">
        <v>400</v>
      </c>
      <c r="D7" s="15">
        <v>500</v>
      </c>
      <c r="E7" s="15">
        <v>600</v>
      </c>
      <c r="F7" s="15">
        <v>700</v>
      </c>
      <c r="G7" s="15">
        <v>800</v>
      </c>
    </row>
    <row r="8" spans="1:7" x14ac:dyDescent="0.3">
      <c r="A8" t="s">
        <v>19</v>
      </c>
      <c r="B8" s="1">
        <v>1000</v>
      </c>
      <c r="C8" s="15">
        <f t="dataTable" ref="C8:G12" dt2D="1" dtr="1" r1="B1" r2="B2"/>
        <v>180000</v>
      </c>
      <c r="D8" s="15">
        <v>250000</v>
      </c>
      <c r="E8" s="15">
        <v>320000</v>
      </c>
      <c r="F8" s="15">
        <v>390000</v>
      </c>
      <c r="G8" s="15">
        <v>460000</v>
      </c>
    </row>
    <row r="9" spans="1:7" x14ac:dyDescent="0.3">
      <c r="B9" s="1">
        <v>1200</v>
      </c>
      <c r="C9" s="15">
        <v>260000</v>
      </c>
      <c r="D9" s="15">
        <v>350000</v>
      </c>
      <c r="E9" s="15">
        <v>440000</v>
      </c>
      <c r="F9" s="15">
        <v>530000</v>
      </c>
      <c r="G9" s="15">
        <v>620000</v>
      </c>
    </row>
    <row r="10" spans="1:7" x14ac:dyDescent="0.3">
      <c r="B10" s="1">
        <v>1300</v>
      </c>
      <c r="C10" s="15">
        <v>300000</v>
      </c>
      <c r="D10" s="15">
        <v>400000</v>
      </c>
      <c r="E10" s="15">
        <v>500000</v>
      </c>
      <c r="F10" s="15">
        <v>600000</v>
      </c>
      <c r="G10" s="15">
        <v>700000</v>
      </c>
    </row>
    <row r="11" spans="1:7" x14ac:dyDescent="0.3">
      <c r="B11" s="1">
        <v>1400</v>
      </c>
      <c r="C11" s="15">
        <v>340000</v>
      </c>
      <c r="D11" s="15">
        <v>450000</v>
      </c>
      <c r="E11" s="15">
        <v>560000</v>
      </c>
      <c r="F11" s="15">
        <v>670000</v>
      </c>
      <c r="G11" s="15">
        <v>780000</v>
      </c>
    </row>
    <row r="12" spans="1:7" x14ac:dyDescent="0.3">
      <c r="B12" s="1">
        <v>1400</v>
      </c>
      <c r="C12" s="15">
        <v>340000</v>
      </c>
      <c r="D12" s="15">
        <v>450000</v>
      </c>
      <c r="E12" s="15">
        <v>560000</v>
      </c>
      <c r="F12" s="15">
        <v>670000</v>
      </c>
      <c r="G12" s="15">
        <v>780000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E7F8-8950-4FBC-A26E-140A4BFBF8E7}">
  <dimension ref="A1:I14"/>
  <sheetViews>
    <sheetView tabSelected="1" workbookViewId="0">
      <selection activeCell="F17" sqref="F17"/>
    </sheetView>
  </sheetViews>
  <sheetFormatPr defaultRowHeight="14.4" x14ac:dyDescent="0.3"/>
  <cols>
    <col min="1" max="1" width="17.88671875" customWidth="1"/>
    <col min="2" max="2" width="12.6640625" bestFit="1" customWidth="1"/>
  </cols>
  <sheetData>
    <row r="1" spans="1:9" x14ac:dyDescent="0.3">
      <c r="A1" s="1" t="s">
        <v>0</v>
      </c>
      <c r="B1" s="15">
        <v>400000</v>
      </c>
    </row>
    <row r="2" spans="1:9" x14ac:dyDescent="0.3">
      <c r="A2" s="1" t="s">
        <v>8</v>
      </c>
      <c r="B2" s="21">
        <v>0.08</v>
      </c>
    </row>
    <row r="3" spans="1:9" x14ac:dyDescent="0.3">
      <c r="A3" s="1" t="s">
        <v>9</v>
      </c>
      <c r="B3" s="21">
        <f>B2/12</f>
        <v>6.6666666666666671E-3</v>
      </c>
    </row>
    <row r="4" spans="1:9" x14ac:dyDescent="0.3">
      <c r="A4" s="1" t="s">
        <v>24</v>
      </c>
      <c r="B4" s="15">
        <v>10</v>
      </c>
    </row>
    <row r="5" spans="1:9" x14ac:dyDescent="0.3">
      <c r="A5" s="1" t="s">
        <v>25</v>
      </c>
      <c r="B5" s="15">
        <f>B4*12</f>
        <v>120</v>
      </c>
    </row>
    <row r="6" spans="1:9" x14ac:dyDescent="0.3">
      <c r="A6" s="1" t="s">
        <v>23</v>
      </c>
      <c r="B6" s="20">
        <f>PMT(B2/12,B4*12,-B1)</f>
        <v>4853.1037742142771</v>
      </c>
      <c r="D6" s="9" t="s">
        <v>26</v>
      </c>
    </row>
    <row r="8" spans="1:9" x14ac:dyDescent="0.3">
      <c r="B8" s="22">
        <f>PMT(B2/12,B4*12,-B1)</f>
        <v>4853.1037742142771</v>
      </c>
      <c r="C8" s="23">
        <v>0.08</v>
      </c>
      <c r="D8" s="23">
        <v>0.09</v>
      </c>
      <c r="E8" s="23">
        <v>0.1</v>
      </c>
      <c r="F8" s="23">
        <v>0.11</v>
      </c>
      <c r="G8" s="23">
        <v>0.12</v>
      </c>
      <c r="H8" s="23">
        <v>0.13</v>
      </c>
      <c r="I8" s="23">
        <v>0.14000000000000001</v>
      </c>
    </row>
    <row r="9" spans="1:9" x14ac:dyDescent="0.3">
      <c r="B9" s="16">
        <v>10</v>
      </c>
      <c r="C9" s="20">
        <f t="dataTable" ref="C9:I14" dt2D="1" dtr="1" r1="B3" r2="B4"/>
        <v>4853.1037742142771</v>
      </c>
      <c r="D9" s="20">
        <v>4853.1037742142771</v>
      </c>
      <c r="E9" s="20">
        <v>4853.1037742142771</v>
      </c>
      <c r="F9" s="20">
        <v>4853.1037742142771</v>
      </c>
      <c r="G9" s="20">
        <v>4853.1037742142771</v>
      </c>
      <c r="H9" s="20">
        <v>4853.1037742142771</v>
      </c>
      <c r="I9" s="20">
        <v>4853.1037742142771</v>
      </c>
    </row>
    <row r="10" spans="1:9" x14ac:dyDescent="0.3">
      <c r="B10" s="16">
        <v>11</v>
      </c>
      <c r="C10" s="20">
        <v>4566.1787551372063</v>
      </c>
      <c r="D10" s="20">
        <v>4566.1787551372063</v>
      </c>
      <c r="E10" s="20">
        <v>4566.1787551372063</v>
      </c>
      <c r="F10" s="20">
        <v>4566.1787551372063</v>
      </c>
      <c r="G10" s="20">
        <v>4566.1787551372063</v>
      </c>
      <c r="H10" s="20">
        <v>4566.1787551372063</v>
      </c>
      <c r="I10" s="20">
        <v>4566.1787551372063</v>
      </c>
    </row>
    <row r="11" spans="1:9" x14ac:dyDescent="0.3">
      <c r="B11" s="16">
        <v>12</v>
      </c>
      <c r="C11" s="20">
        <v>4329.8103336139256</v>
      </c>
      <c r="D11" s="20">
        <v>4329.8103336139256</v>
      </c>
      <c r="E11" s="20">
        <v>4329.8103336139256</v>
      </c>
      <c r="F11" s="20">
        <v>4329.8103336139256</v>
      </c>
      <c r="G11" s="20">
        <v>4329.8103336139256</v>
      </c>
      <c r="H11" s="20">
        <v>4329.8103336139256</v>
      </c>
      <c r="I11" s="20">
        <v>4329.8103336139256</v>
      </c>
    </row>
    <row r="12" spans="1:9" x14ac:dyDescent="0.3">
      <c r="B12" s="16">
        <v>13</v>
      </c>
      <c r="C12" s="20">
        <v>4132.2955260042909</v>
      </c>
      <c r="D12" s="20">
        <v>4132.2955260042909</v>
      </c>
      <c r="E12" s="20">
        <v>4132.2955260042909</v>
      </c>
      <c r="F12" s="20">
        <v>4132.2955260042909</v>
      </c>
      <c r="G12" s="20">
        <v>4132.2955260042909</v>
      </c>
      <c r="H12" s="20">
        <v>4132.2955260042909</v>
      </c>
      <c r="I12" s="20">
        <v>4132.2955260042909</v>
      </c>
    </row>
    <row r="13" spans="1:9" x14ac:dyDescent="0.3">
      <c r="B13" s="16">
        <v>14</v>
      </c>
      <c r="C13" s="20">
        <v>3965.272788192402</v>
      </c>
      <c r="D13" s="20">
        <v>3965.272788192402</v>
      </c>
      <c r="E13" s="20">
        <v>3965.272788192402</v>
      </c>
      <c r="F13" s="20">
        <v>3965.272788192402</v>
      </c>
      <c r="G13" s="20">
        <v>3965.272788192402</v>
      </c>
      <c r="H13" s="20">
        <v>3965.272788192402</v>
      </c>
      <c r="I13" s="20">
        <v>3965.272788192402</v>
      </c>
    </row>
    <row r="14" spans="1:9" x14ac:dyDescent="0.3">
      <c r="B14" s="16">
        <v>15</v>
      </c>
      <c r="C14" s="20">
        <v>3822.608337321406</v>
      </c>
      <c r="D14" s="20">
        <v>3822.608337321406</v>
      </c>
      <c r="E14" s="20">
        <v>3822.608337321406</v>
      </c>
      <c r="F14" s="20">
        <v>3822.608337321406</v>
      </c>
      <c r="G14" s="20">
        <v>3822.608337321406</v>
      </c>
      <c r="H14" s="20">
        <v>3822.608337321406</v>
      </c>
      <c r="I14" s="20">
        <v>3822.608337321406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2026-02-10T04:07:50Z</dcterms:created>
  <dcterms:modified xsi:type="dcterms:W3CDTF">2026-02-10T06:00:42Z</dcterms:modified>
</cp:coreProperties>
</file>